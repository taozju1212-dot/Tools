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/>
  <mc:AlternateContent xmlns:mc="http://schemas.openxmlformats.org/markup-compatibility/2006">
    <mc:Choice Requires="x15">
      <x15ac:absPath xmlns:x15ac="http://schemas.microsoft.com/office/spreadsheetml/2010/11/ac" url="C:\Users\Zhang Tao\Desktop\TMC5240_SPI+Demo-V1.0\"/>
    </mc:Choice>
  </mc:AlternateContent>
  <xr:revisionPtr revIDLastSave="0" documentId="13_ncr:1_{CF18614A-297E-4BAE-83E7-11E1A9DCA8F5}" xr6:coauthVersionLast="47" xr6:coauthVersionMax="47" xr10:uidLastSave="{00000000-0000-0000-0000-000000000000}"/>
  <bookViews>
    <workbookView xWindow="-120" yWindow="-120" windowWidth="38640" windowHeight="21030" activeTab="2" xr2:uid="{00000000-000D-0000-FFFF-FFFF00000000}"/>
  </bookViews>
  <sheets>
    <sheet name="主要公式" sheetId="2" r:id="rId1"/>
    <sheet name="6点斜坡举例" sheetId="1" r:id="rId2"/>
    <sheet name="T型斜坡计算" sheetId="3" r:id="rId3"/>
  </sheets>
  <calcPr calcId="191029"/>
</workbook>
</file>

<file path=xl/calcChain.xml><?xml version="1.0" encoding="utf-8"?>
<calcChain xmlns="http://schemas.openxmlformats.org/spreadsheetml/2006/main">
  <c r="H26" i="3" l="1"/>
  <c r="C8" i="3"/>
  <c r="E19" i="3" s="1"/>
  <c r="C15" i="3"/>
  <c r="C14" i="3"/>
  <c r="C13" i="3"/>
  <c r="D16" i="3"/>
  <c r="B16" i="3"/>
  <c r="C7" i="3"/>
  <c r="C6" i="3"/>
  <c r="C5" i="3"/>
  <c r="C4" i="3"/>
  <c r="F80" i="1"/>
  <c r="F79" i="1"/>
  <c r="F77" i="1"/>
  <c r="F71" i="1"/>
  <c r="F62" i="1"/>
  <c r="F56" i="1"/>
  <c r="F44" i="1"/>
  <c r="F38" i="1"/>
  <c r="D33" i="1"/>
  <c r="C30" i="1"/>
  <c r="B30" i="1"/>
  <c r="D29" i="1"/>
  <c r="C29" i="1"/>
  <c r="C28" i="1"/>
  <c r="C27" i="1"/>
  <c r="C22" i="1"/>
  <c r="F87" i="1" s="1"/>
  <c r="C21" i="1"/>
  <c r="C20" i="1"/>
  <c r="C19" i="1"/>
  <c r="C18" i="1"/>
  <c r="F20" i="2"/>
  <c r="D20" i="2"/>
  <c r="D19" i="2"/>
  <c r="F19" i="2" s="1"/>
  <c r="D16" i="2"/>
  <c r="D15" i="2"/>
  <c r="D12" i="2"/>
  <c r="I12" i="2" s="1"/>
  <c r="L12" i="2" s="1"/>
  <c r="I11" i="2"/>
  <c r="L11" i="2" s="1"/>
  <c r="F11" i="2"/>
  <c r="D11" i="2"/>
  <c r="C7" i="2"/>
  <c r="C8" i="2" s="1"/>
  <c r="C5" i="2"/>
  <c r="C4" i="2"/>
  <c r="F16" i="2" l="1"/>
  <c r="F47" i="1"/>
  <c r="H47" i="1" s="1"/>
  <c r="F65" i="1"/>
  <c r="H65" i="1" s="1"/>
  <c r="F90" i="1"/>
  <c r="G92" i="1" s="1"/>
  <c r="F78" i="1"/>
  <c r="H78" i="1" s="1"/>
  <c r="F41" i="1"/>
  <c r="F59" i="1"/>
  <c r="H59" i="1" s="1"/>
  <c r="E18" i="3"/>
  <c r="F12" i="2"/>
  <c r="F50" i="1" l="1"/>
  <c r="H50" i="1" s="1"/>
  <c r="H41" i="1"/>
  <c r="C16" i="3"/>
  <c r="E26" i="3"/>
  <c r="F91" i="1"/>
  <c r="H91" i="1" s="1"/>
  <c r="F92" i="1"/>
  <c r="F93" i="1" s="1"/>
  <c r="B31" i="1" s="1"/>
  <c r="B33" i="1" l="1"/>
  <c r="C31" i="1"/>
  <c r="E29" i="3"/>
  <c r="H29" i="3" s="1"/>
  <c r="E42" i="3" l="1"/>
  <c r="H42" i="3" s="1"/>
  <c r="E36" i="3"/>
  <c r="H36" i="3" s="1"/>
  <c r="E35" i="3"/>
</calcChain>
</file>

<file path=xl/sharedStrings.xml><?xml version="1.0" encoding="utf-8"?>
<sst xmlns="http://schemas.openxmlformats.org/spreadsheetml/2006/main" count="167" uniqueCount="99">
  <si>
    <t>速度计算条件</t>
  </si>
  <si>
    <t>电机步距角(度)</t>
  </si>
  <si>
    <t>细分</t>
  </si>
  <si>
    <t>MRES</t>
  </si>
  <si>
    <t>电机转一圈的微步数Count</t>
  </si>
  <si>
    <t>时钟频率(Hz)</t>
  </si>
  <si>
    <t>a/AMAX=</t>
  </si>
  <si>
    <t>注：这是转换倍数</t>
  </si>
  <si>
    <t>AMAX/a=</t>
  </si>
  <si>
    <t>实际转速(rpm)和速度相关寄存器(VSTART、V1、VMAX、VSTOP)之间的换算，以VMAX举例</t>
  </si>
  <si>
    <t>V(RPM)：</t>
  </si>
  <si>
    <t>VMAX：</t>
  </si>
  <si>
    <t>对应转速(RPS)：</t>
  </si>
  <si>
    <t>对应相同细分时步进频率(Hz)</t>
  </si>
  <si>
    <t>对应整步时步进频率(Hz)</t>
  </si>
  <si>
    <t>实际加速度a和加减速相关寄存器(A1、AMAX、DMAX、D1)之间的换算，以AMAX举例</t>
  </si>
  <si>
    <t>A(RPS/S)：</t>
  </si>
  <si>
    <t>AMAX：</t>
  </si>
  <si>
    <t>加速过程的时间</t>
  </si>
  <si>
    <t xml:space="preserve"> </t>
  </si>
  <si>
    <t>速度阈值(rpm)，和速度阈值相关寄存器(TSTEP、TPWMTHRS、TCOOLTHRS、THIGH)之间的换算公式其实是一样的，下面以TPWMTHRS寄存器举例</t>
  </si>
  <si>
    <t>设定堵转速度阈值(rpm)</t>
  </si>
  <si>
    <t>堵转速度阈值(ppt)</t>
  </si>
  <si>
    <t>TPWMTHRS(0x13)</t>
  </si>
  <si>
    <t>注：
1、黄色单元格是数据输入框，里面没有公式。
2、细分在可芯片的CHOPCONF寄存器的MRES参数设置。如果MRES参数为0，是256细分；如果1，是128细分，如果2，是64细分，依次递减；如果值为8，电机整步运行。
3、TMC5系列芯片都有个CLK引脚，如果此引脚接GND，则使用内部时钟。
   TMC5160内部时钟频率典型值 12MHz；
   TMC5240、TMC5272芯片的内部时钟频率 12.5MHz；
   TMC5130、TMC5041、TMC5072芯片内部时钟频率 13.2MHz；
   如果用评估板套件测试，时钟频率都是 16MHz。
4、如果需要接外部时钟，把外部时钟源提供给CLK引脚。可有有源晶振提供，或由MCU提供。
5、时钟频率会影响电机转速，例如VMAX寄存器配置一样，时钟频率不一样，电机实际转速会不一样。</t>
  </si>
  <si>
    <t>下面是具体公式</t>
  </si>
  <si>
    <r>
      <rPr>
        <sz val="11"/>
        <color theme="1"/>
        <rFont val="宋体"/>
        <family val="3"/>
        <charset val="134"/>
        <scheme val="minor"/>
      </rPr>
      <t>1、末速度ω</t>
    </r>
    <r>
      <rPr>
        <vertAlign val="subscript"/>
        <sz val="11"/>
        <color theme="1"/>
        <rFont val="宋体"/>
        <family val="3"/>
        <charset val="134"/>
        <scheme val="minor"/>
      </rPr>
      <t>t</t>
    </r>
    <r>
      <rPr>
        <sz val="11"/>
        <color theme="1"/>
        <rFont val="宋体"/>
        <family val="3"/>
        <charset val="134"/>
        <scheme val="minor"/>
      </rPr>
      <t>、初速度ω</t>
    </r>
    <r>
      <rPr>
        <vertAlign val="subscript"/>
        <sz val="11"/>
        <color theme="1"/>
        <rFont val="宋体"/>
        <family val="3"/>
        <charset val="134"/>
        <scheme val="minor"/>
      </rPr>
      <t>0</t>
    </r>
    <r>
      <rPr>
        <sz val="11"/>
        <color theme="1"/>
        <rFont val="宋体"/>
        <family val="3"/>
        <charset val="134"/>
        <scheme val="minor"/>
      </rPr>
      <t>、时间和行程S之间的关系</t>
    </r>
  </si>
  <si>
    <r>
      <rPr>
        <sz val="11"/>
        <color theme="1"/>
        <rFont val="宋体"/>
        <family val="3"/>
        <charset val="134"/>
        <scheme val="minor"/>
      </rPr>
      <t>2、加速度a、末速度ω</t>
    </r>
    <r>
      <rPr>
        <vertAlign val="subscript"/>
        <sz val="11"/>
        <color theme="1"/>
        <rFont val="宋体"/>
        <family val="3"/>
        <charset val="134"/>
        <scheme val="minor"/>
      </rPr>
      <t>t</t>
    </r>
    <r>
      <rPr>
        <sz val="11"/>
        <color theme="1"/>
        <rFont val="宋体"/>
        <family val="3"/>
        <charset val="134"/>
        <scheme val="minor"/>
      </rPr>
      <t>、初速度ω</t>
    </r>
    <r>
      <rPr>
        <vertAlign val="subscript"/>
        <sz val="11"/>
        <color theme="1"/>
        <rFont val="宋体"/>
        <family val="3"/>
        <charset val="134"/>
        <scheme val="minor"/>
      </rPr>
      <t>0、</t>
    </r>
    <r>
      <rPr>
        <sz val="11"/>
        <color theme="1"/>
        <rFont val="宋体"/>
        <family val="3"/>
        <charset val="134"/>
        <scheme val="minor"/>
      </rPr>
      <t>时间t之间的关系</t>
    </r>
  </si>
  <si>
    <t>3、实际转速ω(rps)和速度相关寄存器(VSTART、V1、VMAX、VSTOP)之间的换算，以VMAX举例</t>
  </si>
  <si>
    <t>4、实际加速度a和加减速相关寄存器(A1、AMAX、DMAX、D1)之间的换算，以AMAX举例</t>
  </si>
  <si>
    <t>电机步距角</t>
  </si>
  <si>
    <t>一圈需要的微步数Count</t>
  </si>
  <si>
    <t>注：上面可以不修改，会同步《主要公式》工作簿里的 C2:C6 单元格内容</t>
  </si>
  <si>
    <t>行程S</t>
  </si>
  <si>
    <t>(ustep)</t>
  </si>
  <si>
    <t>圈数</t>
  </si>
  <si>
    <t>时间(sec)</t>
  </si>
  <si>
    <t>加速1阶段</t>
  </si>
  <si>
    <t>加速2阶段</t>
  </si>
  <si>
    <t>匀速阶段</t>
  </si>
  <si>
    <t>减速1阶段</t>
  </si>
  <si>
    <t>减速2阶段</t>
  </si>
  <si>
    <t>小计</t>
  </si>
  <si>
    <t>已知第1段的行程，时间，VSTART=0，求A1和V1</t>
  </si>
  <si>
    <t>根据公式：</t>
  </si>
  <si>
    <t>算出</t>
  </si>
  <si>
    <r>
      <rPr>
        <sz val="11"/>
        <color theme="1"/>
        <rFont val="宋体"/>
        <family val="3"/>
        <charset val="134"/>
        <scheme val="minor"/>
      </rPr>
      <t>实际加速度a</t>
    </r>
    <r>
      <rPr>
        <vertAlign val="subscript"/>
        <sz val="11"/>
        <color theme="1"/>
        <rFont val="宋体"/>
        <family val="3"/>
        <charset val="134"/>
        <scheme val="minor"/>
      </rPr>
      <t>A1</t>
    </r>
    <r>
      <rPr>
        <sz val="11"/>
        <color theme="1"/>
        <rFont val="宋体"/>
        <family val="3"/>
        <charset val="134"/>
        <scheme val="minor"/>
      </rPr>
      <t>(rotations/(s^2))</t>
    </r>
  </si>
  <si>
    <t>寄存器A1(ppt2)</t>
  </si>
  <si>
    <t>取整</t>
  </si>
  <si>
    <r>
      <rPr>
        <sz val="11"/>
        <color theme="1"/>
        <rFont val="宋体"/>
        <family val="3"/>
        <charset val="134"/>
        <scheme val="minor"/>
      </rPr>
      <t>实际转速V</t>
    </r>
    <r>
      <rPr>
        <vertAlign val="subscript"/>
        <sz val="11"/>
        <color theme="1"/>
        <rFont val="宋体"/>
        <family val="3"/>
        <charset val="134"/>
        <scheme val="minor"/>
      </rPr>
      <t>V1</t>
    </r>
    <r>
      <rPr>
        <sz val="11"/>
        <color theme="1"/>
        <rFont val="宋体"/>
        <family val="3"/>
        <charset val="134"/>
        <scheme val="minor"/>
      </rPr>
      <t>(rps)</t>
    </r>
  </si>
  <si>
    <t>寄存器V1(ppt)</t>
  </si>
  <si>
    <t>也可根据公式：</t>
  </si>
  <si>
    <t>已知第2段的行程、时间、V1，求AMAX和VMAX</t>
  </si>
  <si>
    <r>
      <rPr>
        <sz val="11"/>
        <color theme="1"/>
        <rFont val="宋体"/>
        <family val="3"/>
        <charset val="134"/>
        <scheme val="minor"/>
      </rPr>
      <t>实际加速度a</t>
    </r>
    <r>
      <rPr>
        <vertAlign val="subscript"/>
        <sz val="11"/>
        <color theme="1"/>
        <rFont val="宋体"/>
        <family val="3"/>
        <charset val="134"/>
        <scheme val="minor"/>
      </rPr>
      <t>AMAX</t>
    </r>
    <r>
      <rPr>
        <sz val="11"/>
        <color theme="1"/>
        <rFont val="宋体"/>
        <family val="3"/>
        <charset val="134"/>
        <scheme val="minor"/>
      </rPr>
      <t>(rotations/(s^2))</t>
    </r>
  </si>
  <si>
    <t>寄存器AMAX(ppt2)</t>
  </si>
  <si>
    <r>
      <rPr>
        <sz val="11"/>
        <color theme="1"/>
        <rFont val="宋体"/>
        <family val="3"/>
        <charset val="134"/>
        <scheme val="minor"/>
      </rPr>
      <t>实际转速V</t>
    </r>
    <r>
      <rPr>
        <vertAlign val="subscript"/>
        <sz val="11"/>
        <color theme="1"/>
        <rFont val="宋体"/>
        <family val="3"/>
        <charset val="134"/>
        <scheme val="minor"/>
      </rPr>
      <t>VMAX</t>
    </r>
    <r>
      <rPr>
        <sz val="11"/>
        <color theme="1"/>
        <rFont val="宋体"/>
        <family val="3"/>
        <charset val="134"/>
        <scheme val="minor"/>
      </rPr>
      <t>(rps)</t>
    </r>
  </si>
  <si>
    <t>寄存器VMAX(ppt)</t>
  </si>
  <si>
    <t>第3段是匀速运动。根据行程求出时间，或根据时间求出行程</t>
  </si>
  <si>
    <t>需要时间t(sec)</t>
  </si>
  <si>
    <r>
      <rPr>
        <sz val="11"/>
        <color theme="1"/>
        <rFont val="宋体"/>
        <family val="3"/>
        <charset val="134"/>
        <scheme val="minor"/>
      </rPr>
      <t>第4段的VMAX、V1、行程和时间已经确定，根据公式求出减速度a</t>
    </r>
    <r>
      <rPr>
        <vertAlign val="subscript"/>
        <sz val="11"/>
        <color theme="1"/>
        <rFont val="宋体"/>
        <family val="3"/>
        <charset val="134"/>
        <scheme val="minor"/>
      </rPr>
      <t>DMAX</t>
    </r>
    <r>
      <rPr>
        <sz val="11"/>
        <color theme="1"/>
        <rFont val="宋体"/>
        <family val="3"/>
        <charset val="134"/>
        <scheme val="minor"/>
      </rPr>
      <t>，再求出寄存器DMAX，也会影响行程</t>
    </r>
  </si>
  <si>
    <r>
      <rPr>
        <sz val="11"/>
        <color theme="1"/>
        <rFont val="宋体"/>
        <family val="3"/>
        <charset val="134"/>
        <scheme val="minor"/>
      </rPr>
      <t>实际减速度a</t>
    </r>
    <r>
      <rPr>
        <vertAlign val="subscript"/>
        <sz val="11"/>
        <color theme="1"/>
        <rFont val="宋体"/>
        <family val="3"/>
        <charset val="134"/>
        <scheme val="minor"/>
      </rPr>
      <t>DMAX</t>
    </r>
    <r>
      <rPr>
        <sz val="11"/>
        <color theme="1"/>
        <rFont val="宋体"/>
        <family val="3"/>
        <charset val="134"/>
        <scheme val="minor"/>
      </rPr>
      <t>(rotations/(s^2))</t>
    </r>
  </si>
  <si>
    <t>寄存器DMAX(ppt2)</t>
  </si>
  <si>
    <t>实际转的圈数(rotations)</t>
  </si>
  <si>
    <t>实际行程(ustep)</t>
  </si>
  <si>
    <r>
      <rPr>
        <sz val="11"/>
        <color theme="1"/>
        <rFont val="宋体"/>
        <family val="3"/>
        <charset val="134"/>
        <scheme val="minor"/>
      </rPr>
      <t>根据第5段的行程、时间、V1和VSTOP=10，可求出减速度a</t>
    </r>
    <r>
      <rPr>
        <vertAlign val="subscript"/>
        <sz val="11"/>
        <color theme="1"/>
        <rFont val="宋体"/>
        <family val="3"/>
        <charset val="134"/>
        <scheme val="minor"/>
      </rPr>
      <t>D1</t>
    </r>
    <r>
      <rPr>
        <sz val="11"/>
        <color theme="1"/>
        <rFont val="宋体"/>
        <family val="3"/>
        <charset val="134"/>
        <scheme val="minor"/>
      </rPr>
      <t>，再求出寄存器D1，也会影响行程</t>
    </r>
  </si>
  <si>
    <t>寄存器VSTOP(ppt)</t>
  </si>
  <si>
    <r>
      <rPr>
        <sz val="11"/>
        <color theme="1"/>
        <rFont val="宋体"/>
        <family val="3"/>
        <charset val="134"/>
        <scheme val="minor"/>
      </rPr>
      <t>实际V</t>
    </r>
    <r>
      <rPr>
        <vertAlign val="subscript"/>
        <sz val="11"/>
        <color theme="1"/>
        <rFont val="宋体"/>
        <family val="3"/>
        <charset val="134"/>
        <scheme val="minor"/>
      </rPr>
      <t>VSTOP</t>
    </r>
    <r>
      <rPr>
        <sz val="11"/>
        <color theme="1"/>
        <rFont val="宋体"/>
        <family val="3"/>
        <charset val="134"/>
        <scheme val="minor"/>
      </rPr>
      <t>速度(rps)</t>
    </r>
  </si>
  <si>
    <r>
      <rPr>
        <sz val="11"/>
        <color theme="1"/>
        <rFont val="宋体"/>
        <family val="3"/>
        <charset val="134"/>
        <scheme val="minor"/>
      </rPr>
      <t>实际减速度a</t>
    </r>
    <r>
      <rPr>
        <vertAlign val="subscript"/>
        <sz val="11"/>
        <color theme="1"/>
        <rFont val="宋体"/>
        <family val="3"/>
        <charset val="134"/>
        <scheme val="minor"/>
      </rPr>
      <t>D1</t>
    </r>
    <r>
      <rPr>
        <sz val="11"/>
        <color theme="1"/>
        <rFont val="宋体"/>
        <family val="3"/>
        <charset val="134"/>
        <scheme val="minor"/>
      </rPr>
      <t>(rotations/(s^2))</t>
    </r>
  </si>
  <si>
    <t>寄存器D1(ppt2)</t>
  </si>
  <si>
    <t>说明：
1、这表是用于计算梯型加减速运动轨迹。
2、可从黄色背景单元格的输入参数，这种单元格没有公式。
3、推导公式依据加速度计算公式，这是初中物理的知识。
4、用这表格，可先确认好三个运动阶段的需要行程和时间，去计算目标位置（相对位移）、AMAX寄存器、VMAX寄存器、DMAX寄存器的值。这表格也支持修改VSTART寄存器和VSTOP寄存器。
5、其中匀速运动阶段，只能根据时间计算位移，或者根据位移计算时间。
6、TMC5240的内部时钟典型值是12.5MHz。芯片的时钟频率会影响速度、加速度计算。</t>
  </si>
  <si>
    <t>表1、填入基本参数</t>
  </si>
  <si>
    <t>电机步距角(°)</t>
  </si>
  <si>
    <t>表2、填入每段运动需要的行程和花费时间</t>
  </si>
  <si>
    <t>行程(微步数)</t>
  </si>
  <si>
    <t>对应的圈数</t>
  </si>
  <si>
    <t>花费时间(S)</t>
  </si>
  <si>
    <t>加速阶段</t>
  </si>
  <si>
    <t>提示：根据我的计算步骤，匀速阶段只能根据行程求时间，或者根据时间求出行程</t>
  </si>
  <si>
    <t>减速阶段</t>
  </si>
  <si>
    <t>小计：</t>
  </si>
  <si>
    <t>VSTART(0x23)寄存器的值</t>
  </si>
  <si>
    <t>对应转速（rps）</t>
  </si>
  <si>
    <t>VSTOP(0x2B)寄存器的值</t>
  </si>
  <si>
    <t>注意：VSTOP寄存器的值不建议设置为0，至少要是10</t>
  </si>
  <si>
    <t>表3、根据表1、表2的参数推导AMAX、VMAX、DMAX寄存器的值</t>
  </si>
  <si>
    <t>已知加速阶段的行程所对应的圈数，花费时间，VSTART，可确定加速度和最大速度</t>
  </si>
  <si>
    <t>可确认</t>
  </si>
  <si>
    <t>加速度a(rps/s)</t>
  </si>
  <si>
    <t>对应的AMAX寄存器的值，并取整</t>
  </si>
  <si>
    <t>最大转速(rps)</t>
  </si>
  <si>
    <t>对应的VMAX寄存器的值，并取整</t>
  </si>
  <si>
    <t>匀速运动阶段，已知最大速度，可根据行程求出时间，或根据时间求出行程</t>
  </si>
  <si>
    <t>根据位移计算需要时间t(s)</t>
  </si>
  <si>
    <t>或者确认</t>
  </si>
  <si>
    <t>根据花费时间计算转动圈数</t>
  </si>
  <si>
    <t>这里圈数对应的位置数</t>
  </si>
  <si>
    <t>最后确认减速阶段过程。上面已经确认好最大速度，停止速度，花费时间，和行程S，可确认减速阶段的DMAX寄存器</t>
  </si>
  <si>
    <t>减速度a(rps/s)</t>
  </si>
  <si>
    <t>对应的DMAX寄存器的值，并取整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</si>
</sst>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0_ "/>
    <numFmt numFmtId="179" formatCode="0.00_ "/>
  </numFmts>
  <fonts count="11" x14ac:knownFonts="1">
    <font>
      <sz val="11"/>
      <color theme="1"/>
      <name val="宋体"/>
      <charset val="134"/>
      <scheme val="minor"/>
    </font>
    <font>
      <sz val="16"/>
      <color theme="1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2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1"/>
      <color rgb="FFC00000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vertAlign val="subscript"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0" fillId="0" borderId="3" xfId="0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 textRotation="255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3" fontId="0" fillId="3" borderId="3" xfId="0" applyNumberFormat="1" applyFill="1" applyBorder="1" applyAlignment="1">
      <alignment horizontal="center" vertical="center"/>
    </xf>
    <xf numFmtId="178" fontId="0" fillId="3" borderId="1" xfId="0" applyNumberFormat="1" applyFill="1" applyBorder="1" applyAlignment="1">
      <alignment horizontal="center" vertical="center"/>
    </xf>
    <xf numFmtId="0" fontId="2" fillId="0" borderId="0" xfId="0" applyFont="1" applyAlignment="1">
      <alignment horizontal="center" vertical="center" textRotation="255"/>
    </xf>
    <xf numFmtId="178" fontId="0" fillId="3" borderId="3" xfId="0" applyNumberFormat="1" applyFill="1" applyBorder="1" applyAlignment="1">
      <alignment horizontal="center" vertical="center"/>
    </xf>
    <xf numFmtId="178" fontId="0" fillId="0" borderId="0" xfId="0" applyNumberFormat="1">
      <alignment vertical="center"/>
    </xf>
    <xf numFmtId="178" fontId="0" fillId="0" borderId="1" xfId="0" applyNumberForma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0" xfId="0" applyAlignment="1">
      <alignment horizontal="right" vertical="center"/>
    </xf>
    <xf numFmtId="179" fontId="0" fillId="0" borderId="0" xfId="0" applyNumberFormat="1">
      <alignment vertical="center"/>
    </xf>
    <xf numFmtId="0" fontId="3" fillId="0" borderId="0" xfId="0" applyFont="1" applyAlignment="1">
      <alignment horizontal="center" vertical="center"/>
    </xf>
    <xf numFmtId="178" fontId="0" fillId="2" borderId="1" xfId="0" applyNumberForma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178" fontId="0" fillId="0" borderId="6" xfId="0" applyNumberFormat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178" fontId="0" fillId="0" borderId="0" xfId="0" applyNumberForma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0" xfId="0" applyFont="1" applyAlignment="1"/>
    <xf numFmtId="0" fontId="0" fillId="0" borderId="7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textRotation="255"/>
    </xf>
    <xf numFmtId="0" fontId="2" fillId="0" borderId="1" xfId="0" applyFont="1" applyBorder="1" applyAlignment="1">
      <alignment horizontal="center" vertical="center" textRotation="255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>
      <alignment vertical="center"/>
    </xf>
    <xf numFmtId="0" fontId="2" fillId="0" borderId="4" xfId="0" applyFont="1" applyBorder="1" applyAlignment="1">
      <alignment horizontal="center" vertical="center" textRotation="255"/>
    </xf>
    <xf numFmtId="0" fontId="2" fillId="0" borderId="5" xfId="0" applyFont="1" applyBorder="1" applyAlignment="1">
      <alignment horizontal="center" vertical="center" textRotation="255"/>
    </xf>
    <xf numFmtId="0" fontId="2" fillId="0" borderId="6" xfId="0" applyFont="1" applyBorder="1" applyAlignment="1">
      <alignment horizontal="center" vertical="center" textRotation="255"/>
    </xf>
    <xf numFmtId="3" fontId="0" fillId="0" borderId="1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29210</xdr:colOff>
      <xdr:row>33</xdr:row>
      <xdr:rowOff>130175</xdr:rowOff>
    </xdr:from>
    <xdr:ext cx="2993390" cy="3359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文本框 1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 txBox="1"/>
          </xdr:nvSpPr>
          <xdr:spPr>
            <a:xfrm>
              <a:off x="29210" y="10239375"/>
              <a:ext cx="2993390" cy="33591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>
              <a:defPPr>
                <a:defRPr lang="zh-CN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𝑉𝑀𝐴𝑋</m:t>
                    </m:r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=</m:t>
                    </m:r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𝜔</m:t>
                    </m:r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∗</m:t>
                    </m:r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𝐶𝑜𝑢𝑛𝑡</m:t>
                    </m:r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∗</m:t>
                    </m:r>
                    <m:sSup>
                      <m:sSupPr>
                        <m:ctrlPr>
                          <a:rPr lang="en-US" altLang="zh-CN" sz="1600" i="1">
                            <a:latin typeface="Cambria Math" panose="02040503050406030204" pitchFamily="18" charset="0"/>
                            <a:cs typeface="Cambria Math" panose="02040503050406030204" charset="0"/>
                          </a:rPr>
                        </m:ctrlPr>
                      </m:sSupPr>
                      <m:e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2</m:t>
                        </m:r>
                      </m:e>
                      <m:sup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24</m:t>
                        </m:r>
                      </m:sup>
                    </m:sSup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÷</m:t>
                    </m:r>
                    <m:sSub>
                      <m:sSubPr>
                        <m:ctrlPr>
                          <a:rPr lang="en-US" altLang="zh-CN" sz="1600" i="1">
                            <a:latin typeface="Cambria Math" panose="02040503050406030204" pitchFamily="18" charset="0"/>
                            <a:cs typeface="Cambria Math" panose="02040503050406030204" charset="0"/>
                          </a:rPr>
                        </m:ctrlPr>
                      </m:sSubPr>
                      <m:e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𝑓</m:t>
                        </m:r>
                      </m:e>
                      <m:sub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𝑐𝑙𝑘</m:t>
                        </m:r>
                      </m:sub>
                    </m:sSub>
                  </m:oMath>
                </m:oMathPara>
              </a14:m>
              <a:endParaRPr lang="zh-CN" altLang="en-US" sz="1600"/>
            </a:p>
          </xdr:txBody>
        </xdr:sp>
      </mc:Choice>
      <mc:Fallback xmlns:r="http://schemas.openxmlformats.org/officeDocument/2006/relationships" xmlns="">
        <xdr:sp>
          <xdr:nvSpPr>
            <xdr:cNvPr id="2" name="文本框 1"/>
            <xdr:cNvSpPr txBox="1"/>
          </xdr:nvSpPr>
          <xdr:spPr>
            <a:xfrm>
              <a:off x="29210" y="10239375"/>
              <a:ext cx="2993390" cy="33591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>
              <a:defPPr>
                <a:defRPr lang="zh-CN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𝑉𝑀𝐴𝑋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𝜔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∗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𝐶𝑜𝑢𝑛𝑡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∗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2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24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÷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𝑓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𝑐𝑙𝑘</a:t>
              </a:r>
              <a:endParaRPr lang="zh-CN" altLang="en-US" sz="1600"/>
            </a:p>
          </xdr:txBody>
        </xdr:sp>
      </mc:Fallback>
    </mc:AlternateContent>
    <xdr:clientData/>
  </xdr:oneCellAnchor>
  <xdr:oneCellAnchor>
    <xdr:from>
      <xdr:col>0</xdr:col>
      <xdr:colOff>409575</xdr:colOff>
      <xdr:row>32</xdr:row>
      <xdr:rowOff>53975</xdr:rowOff>
    </xdr:from>
    <xdr:ext cx="3211195" cy="3422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文本框 2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 txBox="1"/>
          </xdr:nvSpPr>
          <xdr:spPr>
            <a:xfrm>
              <a:off x="409575" y="9909175"/>
              <a:ext cx="3211195" cy="34226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>
              <a:defPPr>
                <a:defRPr lang="zh-CN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𝜔</m:t>
                    </m:r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=</m:t>
                    </m:r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𝑉𝑀𝐴𝑋</m:t>
                    </m:r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∗</m:t>
                    </m:r>
                    <m:sSub>
                      <m:sSubPr>
                        <m:ctrlPr>
                          <a:rPr lang="en-US" altLang="zh-CN" sz="1600" i="1">
                            <a:latin typeface="Cambria Math" panose="02040503050406030204" pitchFamily="18" charset="0"/>
                            <a:cs typeface="Cambria Math" panose="02040503050406030204" charset="0"/>
                          </a:rPr>
                        </m:ctrlPr>
                      </m:sSubPr>
                      <m:e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𝑓</m:t>
                        </m:r>
                      </m:e>
                      <m:sub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𝑐𝑙𝑘</m:t>
                        </m:r>
                      </m:sub>
                    </m:sSub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÷</m:t>
                    </m:r>
                    <m:sSup>
                      <m:sSupPr>
                        <m:ctrlPr>
                          <a:rPr lang="en-US" altLang="zh-CN" sz="1600" i="1">
                            <a:latin typeface="Cambria Math" panose="02040503050406030204" pitchFamily="18" charset="0"/>
                            <a:cs typeface="Cambria Math" panose="02040503050406030204" charset="0"/>
                          </a:rPr>
                        </m:ctrlPr>
                      </m:sSupPr>
                      <m:e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2</m:t>
                        </m:r>
                      </m:e>
                      <m:sup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24</m:t>
                        </m:r>
                      </m:sup>
                    </m:sSup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÷</m:t>
                    </m:r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𝐶𝑜𝑢𝑛𝑡</m:t>
                    </m:r>
                  </m:oMath>
                </m:oMathPara>
              </a14:m>
              <a:endParaRPr lang="zh-CN" altLang="en-US" sz="1600"/>
            </a:p>
          </xdr:txBody>
        </xdr:sp>
      </mc:Choice>
      <mc:Fallback xmlns:r="http://schemas.openxmlformats.org/officeDocument/2006/relationships" xmlns="">
        <xdr:sp>
          <xdr:nvSpPr>
            <xdr:cNvPr id="3" name="文本框 2"/>
            <xdr:cNvSpPr txBox="1"/>
          </xdr:nvSpPr>
          <xdr:spPr>
            <a:xfrm>
              <a:off x="409575" y="9909175"/>
              <a:ext cx="3211195" cy="34226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>
              <a:defPPr>
                <a:defRPr lang="zh-CN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𝜔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𝑉𝑀𝐴𝑋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∗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𝑓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𝑐𝑙𝑘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÷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2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24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÷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𝐶𝑜𝑢𝑛𝑡</a:t>
              </a:r>
              <a:endParaRPr lang="zh-CN" altLang="en-US" sz="1600"/>
            </a:p>
          </xdr:txBody>
        </xdr:sp>
      </mc:Fallback>
    </mc:AlternateContent>
    <xdr:clientData/>
  </xdr:oneCellAnchor>
  <xdr:oneCellAnchor>
    <xdr:from>
      <xdr:col>0</xdr:col>
      <xdr:colOff>505460</xdr:colOff>
      <xdr:row>36</xdr:row>
      <xdr:rowOff>21590</xdr:rowOff>
    </xdr:from>
    <xdr:ext cx="3064510" cy="3422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文本框 3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 txBox="1"/>
          </xdr:nvSpPr>
          <xdr:spPr>
            <a:xfrm>
              <a:off x="505460" y="10892790"/>
              <a:ext cx="3064510" cy="34226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>
              <a:defPPr>
                <a:defRPr lang="zh-CN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𝑎</m:t>
                    </m:r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=</m:t>
                    </m:r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𝐴𝑀𝐴𝑋</m:t>
                    </m:r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∗</m:t>
                    </m:r>
                    <m:sSubSup>
                      <m:sSubSupPr>
                        <m:ctrlPr>
                          <a:rPr lang="en-US" altLang="zh-CN" sz="1600" i="1">
                            <a:latin typeface="Cambria Math" panose="02040503050406030204" pitchFamily="18" charset="0"/>
                            <a:cs typeface="Cambria Math" panose="02040503050406030204" charset="0"/>
                          </a:rPr>
                        </m:ctrlPr>
                      </m:sSubSupPr>
                      <m:e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𝑓</m:t>
                        </m:r>
                      </m:e>
                      <m:sub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𝑐𝑙𝑘</m:t>
                        </m:r>
                      </m:sub>
                      <m:sup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2</m:t>
                        </m:r>
                      </m:sup>
                    </m:sSubSup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÷</m:t>
                    </m:r>
                    <m:sSup>
                      <m:sSupPr>
                        <m:ctrlPr>
                          <a:rPr lang="en-US" altLang="zh-CN" sz="1600" i="1">
                            <a:latin typeface="Cambria Math" panose="02040503050406030204" pitchFamily="18" charset="0"/>
                            <a:cs typeface="Cambria Math" panose="02040503050406030204" charset="0"/>
                          </a:rPr>
                        </m:ctrlPr>
                      </m:sSupPr>
                      <m:e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2</m:t>
                        </m:r>
                      </m:e>
                      <m:sup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41</m:t>
                        </m:r>
                      </m:sup>
                    </m:sSup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÷</m:t>
                    </m:r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𝐶𝑜𝑢𝑛𝑡</m:t>
                    </m:r>
                  </m:oMath>
                </m:oMathPara>
              </a14:m>
              <a:endParaRPr lang="en-US" altLang="zh-CN" sz="1600"/>
            </a:p>
          </xdr:txBody>
        </xdr:sp>
      </mc:Choice>
      <mc:Fallback xmlns:r="http://schemas.openxmlformats.org/officeDocument/2006/relationships" xmlns="">
        <xdr:sp>
          <xdr:nvSpPr>
            <xdr:cNvPr id="4" name="文本框 3"/>
            <xdr:cNvSpPr txBox="1"/>
          </xdr:nvSpPr>
          <xdr:spPr>
            <a:xfrm>
              <a:off x="505460" y="10892790"/>
              <a:ext cx="3064510" cy="34226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>
              <a:defPPr>
                <a:defRPr lang="zh-CN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𝑎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𝐴𝑀𝐴𝑋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∗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𝑓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𝑐𝑙𝑘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2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÷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2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41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÷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𝐶𝑜𝑢𝑛𝑡</a:t>
              </a:r>
              <a:endParaRPr lang="en-US" altLang="zh-CN" sz="1600"/>
            </a:p>
          </xdr:txBody>
        </xdr:sp>
      </mc:Fallback>
    </mc:AlternateContent>
    <xdr:clientData/>
  </xdr:oneCellAnchor>
  <xdr:oneCellAnchor>
    <xdr:from>
      <xdr:col>0</xdr:col>
      <xdr:colOff>125095</xdr:colOff>
      <xdr:row>37</xdr:row>
      <xdr:rowOff>105410</xdr:rowOff>
    </xdr:from>
    <xdr:ext cx="2873375" cy="3422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文本框 4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SpPr txBox="1"/>
          </xdr:nvSpPr>
          <xdr:spPr>
            <a:xfrm>
              <a:off x="125095" y="11230610"/>
              <a:ext cx="2873375" cy="34226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>
              <a:defPPr>
                <a:defRPr lang="zh-CN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AMAX</a:t>
              </a:r>
              <a14:m>
                <m:oMath xmlns:m="http://schemas.openxmlformats.org/officeDocument/2006/math">
                  <m:r>
                    <a:rPr lang="en-US" altLang="zh-CN" sz="1600" i="1">
                      <a:latin typeface="Cambria Math" panose="02040503050406030204" charset="0"/>
                      <a:cs typeface="Cambria Math" panose="02040503050406030204" charset="0"/>
                    </a:rPr>
                    <m:t>=</m:t>
                  </m:r>
                  <m:r>
                    <a:rPr lang="en-US" altLang="zh-CN" sz="1600" i="1">
                      <a:latin typeface="Cambria Math" panose="02040503050406030204" charset="0"/>
                      <a:cs typeface="Cambria Math" panose="02040503050406030204" charset="0"/>
                    </a:rPr>
                    <m:t>𝑎</m:t>
                  </m:r>
                  <m:r>
                    <a:rPr lang="en-US" altLang="zh-CN" sz="1600" i="1">
                      <a:latin typeface="Cambria Math" panose="02040503050406030204" charset="0"/>
                      <a:cs typeface="Cambria Math" panose="02040503050406030204" charset="0"/>
                    </a:rPr>
                    <m:t>÷</m:t>
                  </m:r>
                  <m:sSubSup>
                    <m:sSubSupPr>
                      <m:ctrlPr>
                        <a:rPr lang="en-US" altLang="zh-CN" sz="1600" i="1">
                          <a:latin typeface="Cambria Math" panose="02040503050406030204" pitchFamily="18" charset="0"/>
                          <a:cs typeface="Cambria Math" panose="02040503050406030204" charset="0"/>
                        </a:rPr>
                      </m:ctrlPr>
                    </m:sSubSupPr>
                    <m:e>
                      <m:r>
                        <a:rPr lang="en-US" altLang="zh-CN" sz="1600" i="1">
                          <a:latin typeface="Cambria Math" panose="02040503050406030204" charset="0"/>
                          <a:cs typeface="Cambria Math" panose="02040503050406030204" charset="0"/>
                        </a:rPr>
                        <m:t>𝑓</m:t>
                      </m:r>
                    </m:e>
                    <m:sub>
                      <m:r>
                        <a:rPr lang="en-US" altLang="zh-CN" sz="1600" i="1">
                          <a:latin typeface="Cambria Math" panose="02040503050406030204" charset="0"/>
                          <a:cs typeface="Cambria Math" panose="02040503050406030204" charset="0"/>
                        </a:rPr>
                        <m:t>𝑐𝑙𝑘</m:t>
                      </m:r>
                    </m:sub>
                    <m:sup>
                      <m:r>
                        <a:rPr lang="en-US" altLang="zh-CN" sz="1600" i="1">
                          <a:latin typeface="Cambria Math" panose="02040503050406030204" charset="0"/>
                          <a:cs typeface="Cambria Math" panose="02040503050406030204" charset="0"/>
                        </a:rPr>
                        <m:t>2</m:t>
                      </m:r>
                    </m:sup>
                  </m:sSubSup>
                  <m:r>
                    <a:rPr lang="en-US" altLang="zh-CN" sz="1600" i="1">
                      <a:latin typeface="Cambria Math" panose="02040503050406030204" charset="0"/>
                      <a:cs typeface="Cambria Math" panose="02040503050406030204" charset="0"/>
                    </a:rPr>
                    <m:t>∗</m:t>
                  </m:r>
                  <m:sSup>
                    <m:sSupPr>
                      <m:ctrlPr>
                        <a:rPr lang="en-US" altLang="zh-CN" sz="1600" i="1">
                          <a:latin typeface="Cambria Math" panose="02040503050406030204" pitchFamily="18" charset="0"/>
                          <a:cs typeface="Cambria Math" panose="02040503050406030204" charset="0"/>
                        </a:rPr>
                      </m:ctrlPr>
                    </m:sSupPr>
                    <m:e>
                      <m:r>
                        <a:rPr lang="en-US" altLang="zh-CN" sz="1600" i="1">
                          <a:latin typeface="Cambria Math" panose="02040503050406030204" charset="0"/>
                          <a:cs typeface="Cambria Math" panose="02040503050406030204" charset="0"/>
                        </a:rPr>
                        <m:t>2</m:t>
                      </m:r>
                    </m:e>
                    <m:sup>
                      <m:r>
                        <a:rPr lang="en-US" altLang="zh-CN" sz="1600" i="1">
                          <a:latin typeface="Cambria Math" panose="02040503050406030204" charset="0"/>
                          <a:cs typeface="Cambria Math" panose="02040503050406030204" charset="0"/>
                        </a:rPr>
                        <m:t>41</m:t>
                      </m:r>
                    </m:sup>
                  </m:sSup>
                  <m:r>
                    <a:rPr lang="en-US" altLang="zh-CN" sz="1600" i="1">
                      <a:latin typeface="Cambria Math" panose="02040503050406030204" charset="0"/>
                      <a:cs typeface="Cambria Math" panose="02040503050406030204" charset="0"/>
                    </a:rPr>
                    <m:t>∗</m:t>
                  </m:r>
                  <m:r>
                    <a:rPr lang="en-US" altLang="zh-CN" sz="1600" i="1">
                      <a:latin typeface="Cambria Math" panose="02040503050406030204" charset="0"/>
                      <a:cs typeface="Cambria Math" panose="02040503050406030204" charset="0"/>
                    </a:rPr>
                    <m:t>𝐶𝑜𝑢𝑛𝑡</m:t>
                  </m:r>
                </m:oMath>
              </a14:m>
              <a:endParaRPr lang="en-US" altLang="zh-CN" sz="1600"/>
            </a:p>
          </xdr:txBody>
        </xdr:sp>
      </mc:Choice>
      <mc:Fallback xmlns:r="http://schemas.openxmlformats.org/officeDocument/2006/relationships" xmlns="">
        <xdr:sp>
          <xdr:nvSpPr>
            <xdr:cNvPr id="5" name="文本框 4"/>
            <xdr:cNvSpPr txBox="1"/>
          </xdr:nvSpPr>
          <xdr:spPr>
            <a:xfrm>
              <a:off x="125095" y="11230610"/>
              <a:ext cx="2873375" cy="34226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>
              <a:defPPr>
                <a:defRPr lang="zh-CN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AMAX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𝑎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÷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𝑓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𝑐𝑙𝑘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2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∗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2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41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∗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𝐶𝑜𝑢𝑛𝑡</a:t>
              </a:r>
              <a:endParaRPr lang="en-US" altLang="zh-CN" sz="1600"/>
            </a:p>
          </xdr:txBody>
        </xdr:sp>
      </mc:Fallback>
    </mc:AlternateContent>
    <xdr:clientData/>
  </xdr:oneCellAnchor>
  <xdr:oneCellAnchor>
    <xdr:from>
      <xdr:col>0</xdr:col>
      <xdr:colOff>438150</xdr:colOff>
      <xdr:row>26</xdr:row>
      <xdr:rowOff>71120</xdr:rowOff>
    </xdr:from>
    <xdr:ext cx="1925955" cy="34734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文本框 5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SpPr txBox="1"/>
          </xdr:nvSpPr>
          <xdr:spPr>
            <a:xfrm>
              <a:off x="438150" y="8402320"/>
              <a:ext cx="1925955" cy="34734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600" i="1">
                            <a:latin typeface="Cambria Math" panose="02040503050406030204" pitchFamily="18" charset="0"/>
                            <a:cs typeface="Cambria Math" panose="02040503050406030204" charset="0"/>
                          </a:rPr>
                        </m:ctrlPr>
                      </m:sSubPr>
                      <m:e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𝜔</m:t>
                        </m:r>
                      </m:e>
                      <m:sub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𝑡</m:t>
                        </m:r>
                      </m:sub>
                    </m:sSub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=2∗</m:t>
                    </m:r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𝑆</m:t>
                    </m:r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÷</m:t>
                    </m:r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𝑡</m:t>
                    </m:r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−</m:t>
                    </m:r>
                    <m:sSub>
                      <m:sSubPr>
                        <m:ctrlPr>
                          <a:rPr lang="en-US" altLang="zh-CN" sz="1600" i="1">
                            <a:latin typeface="Cambria Math" panose="02040503050406030204" pitchFamily="18" charset="0"/>
                            <a:cs typeface="Cambria Math" panose="02040503050406030204" charset="0"/>
                          </a:rPr>
                        </m:ctrlPr>
                      </m:sSubPr>
                      <m:e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𝜔</m:t>
                        </m:r>
                      </m:e>
                      <m:sub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0</m:t>
                        </m:r>
                      </m:sub>
                    </m:sSub>
                  </m:oMath>
                </m:oMathPara>
              </a14:m>
              <a:endParaRPr lang="zh-CN" altLang="en-US" sz="1600"/>
            </a:p>
          </xdr:txBody>
        </xdr:sp>
      </mc:Choice>
      <mc:Fallback xmlns:r="http://schemas.openxmlformats.org/officeDocument/2006/relationships" xmlns="">
        <xdr:sp>
          <xdr:nvSpPr>
            <xdr:cNvPr id="6" name="文本框 5"/>
            <xdr:cNvSpPr txBox="1"/>
          </xdr:nvSpPr>
          <xdr:spPr>
            <a:xfrm>
              <a:off x="438150" y="8402320"/>
              <a:ext cx="1925955" cy="34734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p>
              <a:pPr algn="l"/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𝜔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𝑡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2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∗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𝑆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÷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𝑡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−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𝜔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0</a:t>
              </a:r>
              <a:endParaRPr lang="zh-CN" altLang="en-US" sz="1600"/>
            </a:p>
          </xdr:txBody>
        </xdr:sp>
      </mc:Fallback>
    </mc:AlternateContent>
    <xdr:clientData/>
  </xdr:oneCellAnchor>
  <xdr:oneCellAnchor>
    <xdr:from>
      <xdr:col>0</xdr:col>
      <xdr:colOff>466725</xdr:colOff>
      <xdr:row>29</xdr:row>
      <xdr:rowOff>52070</xdr:rowOff>
    </xdr:from>
    <xdr:ext cx="1797685" cy="34734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文本框 6">
              <a:extLst>
                <a:ext uri="{FF2B5EF4-FFF2-40B4-BE49-F238E27FC236}">
                  <a16:creationId xmlns:a16="http://schemas.microsoft.com/office/drawing/2014/main" id="{00000000-0008-0000-0000-000007000000}"/>
                </a:ext>
              </a:extLst>
            </xdr:cNvPr>
            <xdr:cNvSpPr txBox="1"/>
          </xdr:nvSpPr>
          <xdr:spPr>
            <a:xfrm>
              <a:off x="466725" y="9145270"/>
              <a:ext cx="1797685" cy="34734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𝑎</m:t>
                    </m:r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=</m:t>
                    </m:r>
                    <m:d>
                      <m:dPr>
                        <m:ctrlPr>
                          <a:rPr lang="en-US" altLang="zh-CN" sz="1600" i="1">
                            <a:latin typeface="Cambria Math" panose="02040503050406030204" pitchFamily="18" charset="0"/>
                            <a:cs typeface="Cambria Math" panose="02040503050406030204" charset="0"/>
                          </a:rPr>
                        </m:ctrlPr>
                      </m:dPr>
                      <m:e>
                        <m:sSub>
                          <m:sSubPr>
                            <m:ctrlPr>
                              <a:rPr lang="en-US" altLang="zh-CN" sz="1600" i="1">
                                <a:latin typeface="Cambria Math" panose="02040503050406030204" pitchFamily="18" charset="0"/>
                                <a:cs typeface="Cambria Math" panose="02040503050406030204" charset="0"/>
                              </a:rPr>
                            </m:ctrlPr>
                          </m:sSubPr>
                          <m:e>
                            <m:r>
                              <a:rPr lang="en-US" altLang="zh-CN" sz="16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𝜔</m:t>
                            </m:r>
                          </m:e>
                          <m:sub>
                            <m:r>
                              <a:rPr lang="en-US" altLang="zh-CN" sz="16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𝑡</m:t>
                            </m:r>
                          </m:sub>
                        </m:sSub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−</m:t>
                        </m:r>
                        <m:sSub>
                          <m:sSubPr>
                            <m:ctrlPr>
                              <a:rPr lang="en-US" altLang="zh-CN" sz="1600" i="1">
                                <a:latin typeface="Cambria Math" panose="02040503050406030204" pitchFamily="18" charset="0"/>
                                <a:cs typeface="Cambria Math" panose="02040503050406030204" charset="0"/>
                              </a:rPr>
                            </m:ctrlPr>
                          </m:sSubPr>
                          <m:e>
                            <m:r>
                              <a:rPr lang="en-US" altLang="zh-CN" sz="16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𝜔</m:t>
                            </m:r>
                          </m:e>
                          <m:sub>
                            <m:r>
                              <a:rPr lang="en-US" altLang="zh-CN" sz="1600" i="1">
                                <a:latin typeface="Cambria Math" panose="02040503050406030204" charset="0"/>
                                <a:cs typeface="Cambria Math" panose="02040503050406030204" charset="0"/>
                              </a:rPr>
                              <m:t>0</m:t>
                            </m:r>
                          </m:sub>
                        </m:sSub>
                      </m:e>
                    </m:d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÷</m:t>
                    </m:r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𝑡</m:t>
                    </m:r>
                  </m:oMath>
                </m:oMathPara>
              </a14:m>
              <a:endParaRPr lang="zh-CN" altLang="en-US" sz="1600"/>
            </a:p>
          </xdr:txBody>
        </xdr:sp>
      </mc:Choice>
      <mc:Fallback xmlns:r="http://schemas.openxmlformats.org/officeDocument/2006/relationships" xmlns="">
        <xdr:sp>
          <xdr:nvSpPr>
            <xdr:cNvPr id="7" name="文本框 6"/>
            <xdr:cNvSpPr txBox="1"/>
          </xdr:nvSpPr>
          <xdr:spPr>
            <a:xfrm>
              <a:off x="466725" y="9145270"/>
              <a:ext cx="1797685" cy="34734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p>
              <a:pPr algn="l"/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𝑎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(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𝜔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𝑡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−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𝜔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0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)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÷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𝑡</a:t>
              </a:r>
              <a:endParaRPr lang="zh-CN" altLang="en-US" sz="1600"/>
            </a:p>
          </xdr:txBody>
        </xdr:sp>
      </mc:Fallback>
    </mc:AlternateContent>
    <xdr:clientData/>
  </xdr:oneCellAnchor>
  <xdr:twoCellAnchor editAs="oneCell">
    <xdr:from>
      <xdr:col>3</xdr:col>
      <xdr:colOff>241300</xdr:colOff>
      <xdr:row>0</xdr:row>
      <xdr:rowOff>44450</xdr:rowOff>
    </xdr:from>
    <xdr:to>
      <xdr:col>11</xdr:col>
      <xdr:colOff>782955</xdr:colOff>
      <xdr:row>7</xdr:row>
      <xdr:rowOff>98425</xdr:rowOff>
    </xdr:to>
    <xdr:pic>
      <xdr:nvPicPr>
        <xdr:cNvPr id="8" name="图片 7" descr="微信图片_2024040215342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24275" y="44450"/>
          <a:ext cx="7821930" cy="182816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</xdr:rowOff>
    </xdr:from>
    <xdr:to>
      <xdr:col>7</xdr:col>
      <xdr:colOff>99060</xdr:colOff>
      <xdr:row>16</xdr:row>
      <xdr:rowOff>149225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"/>
          <a:ext cx="6051550" cy="2760980"/>
        </a:xfrm>
        <a:prstGeom prst="rect">
          <a:avLst/>
        </a:prstGeom>
        <a:noFill/>
        <a:ln w="9525">
          <a:noFill/>
        </a:ln>
      </xdr:spPr>
    </xdr:pic>
    <xdr:clientData/>
  </xdr:twoCellAnchor>
  <xdr:oneCellAnchor>
    <xdr:from>
      <xdr:col>2</xdr:col>
      <xdr:colOff>147320</xdr:colOff>
      <xdr:row>34</xdr:row>
      <xdr:rowOff>233045</xdr:rowOff>
    </xdr:from>
    <xdr:ext cx="2268855" cy="5600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文本框 2">
              <a:extLst>
                <a:ext uri="{FF2B5EF4-FFF2-40B4-BE49-F238E27FC236}">
                  <a16:creationId xmlns:a16="http://schemas.microsoft.com/office/drawing/2014/main" id="{00000000-0008-0000-0100-000003000000}"/>
                </a:ext>
              </a:extLst>
            </xdr:cNvPr>
            <xdr:cNvSpPr txBox="1"/>
          </xdr:nvSpPr>
          <xdr:spPr>
            <a:xfrm>
              <a:off x="1704975" y="7065645"/>
              <a:ext cx="2268855" cy="56007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𝑆</m:t>
                    </m:r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=</m:t>
                    </m:r>
                    <m:sSub>
                      <m:sSubPr>
                        <m:ctrlPr>
                          <a:rPr lang="en-US" altLang="zh-CN" sz="1600" i="1">
                            <a:latin typeface="Cambria Math" panose="02040503050406030204" pitchFamily="18" charset="0"/>
                            <a:cs typeface="Cambria Math" panose="02040503050406030204" charset="0"/>
                          </a:rPr>
                        </m:ctrlPr>
                      </m:sSubPr>
                      <m:e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𝑉</m:t>
                        </m:r>
                      </m:e>
                      <m:sub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𝑉𝑆𝑇𝐴𝑅𝑇</m:t>
                        </m:r>
                      </m:sub>
                    </m:sSub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 </m:t>
                    </m:r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𝑡</m:t>
                    </m:r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+</m:t>
                    </m:r>
                    <m:f>
                      <m:fPr>
                        <m:ctrlPr>
                          <a:rPr lang="en-US" altLang="zh-CN" sz="1600" i="1">
                            <a:latin typeface="Cambria Math" panose="02040503050406030204" pitchFamily="18" charset="0"/>
                            <a:cs typeface="Cambria Math" panose="02040503050406030204" charset="0"/>
                          </a:rPr>
                        </m:ctrlPr>
                      </m:fPr>
                      <m:num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1</m:t>
                        </m:r>
                      </m:num>
                      <m:den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2</m:t>
                        </m:r>
                      </m:den>
                    </m:f>
                    <m:sSub>
                      <m:sSubPr>
                        <m:ctrlPr>
                          <a:rPr lang="en-US" altLang="zh-CN" sz="1600" i="1">
                            <a:latin typeface="Cambria Math" panose="02040503050406030204" pitchFamily="18" charset="0"/>
                            <a:cs typeface="Cambria Math" panose="02040503050406030204" charset="0"/>
                          </a:rPr>
                        </m:ctrlPr>
                      </m:sSubPr>
                      <m:e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𝑎</m:t>
                        </m:r>
                      </m:e>
                      <m:sub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𝐴</m:t>
                        </m:r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1</m:t>
                        </m:r>
                      </m:sub>
                    </m:sSub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 </m:t>
                    </m:r>
                    <m:sSup>
                      <m:sSupPr>
                        <m:ctrlPr>
                          <a:rPr lang="en-US" altLang="zh-CN" sz="1600" i="1">
                            <a:latin typeface="Cambria Math" panose="02040503050406030204" pitchFamily="18" charset="0"/>
                            <a:cs typeface="Cambria Math" panose="02040503050406030204" charset="0"/>
                          </a:rPr>
                        </m:ctrlPr>
                      </m:sSupPr>
                      <m:e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𝑡</m:t>
                        </m:r>
                      </m:e>
                      <m:sup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zh-CN" altLang="en-US" sz="1600"/>
            </a:p>
          </xdr:txBody>
        </xdr:sp>
      </mc:Choice>
      <mc:Fallback xmlns:r="http://schemas.openxmlformats.org/officeDocument/2006/relationships" xmlns="">
        <xdr:sp>
          <xdr:nvSpPr>
            <xdr:cNvPr id="3" name="文本框 2"/>
            <xdr:cNvSpPr txBox="1"/>
          </xdr:nvSpPr>
          <xdr:spPr>
            <a:xfrm>
              <a:off x="1704975" y="7065645"/>
              <a:ext cx="2268855" cy="56007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p>
              <a:pPr algn="l"/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𝑆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𝑉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𝑉𝑆𝑇𝐴𝑅𝑇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 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𝑡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+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1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/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2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𝑎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𝐴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1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 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𝑡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2</a:t>
              </a:r>
              <a:endParaRPr lang="zh-CN" altLang="en-US" sz="1600"/>
            </a:p>
          </xdr:txBody>
        </xdr:sp>
      </mc:Fallback>
    </mc:AlternateContent>
    <xdr:clientData/>
  </xdr:oneCellAnchor>
  <xdr:oneCellAnchor>
    <xdr:from>
      <xdr:col>1</xdr:col>
      <xdr:colOff>880745</xdr:colOff>
      <xdr:row>41</xdr:row>
      <xdr:rowOff>85090</xdr:rowOff>
    </xdr:from>
    <xdr:ext cx="2103120" cy="34734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文本框 4">
              <a:extLst>
                <a:ext uri="{FF2B5EF4-FFF2-40B4-BE49-F238E27FC236}">
                  <a16:creationId xmlns:a16="http://schemas.microsoft.com/office/drawing/2014/main" id="{00000000-0008-0000-0100-000005000000}"/>
                </a:ext>
              </a:extLst>
            </xdr:cNvPr>
            <xdr:cNvSpPr txBox="1"/>
          </xdr:nvSpPr>
          <xdr:spPr>
            <a:xfrm>
              <a:off x="1529715" y="8695690"/>
              <a:ext cx="2103120" cy="34734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600" i="1">
                            <a:latin typeface="Cambria Math" panose="02040503050406030204" pitchFamily="18" charset="0"/>
                            <a:cs typeface="Cambria Math" panose="02040503050406030204" charset="0"/>
                          </a:rPr>
                        </m:ctrlPr>
                      </m:sSubPr>
                      <m:e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𝑉</m:t>
                        </m:r>
                      </m:e>
                      <m:sub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𝑉</m:t>
                        </m:r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1</m:t>
                        </m:r>
                      </m:sub>
                    </m:sSub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=</m:t>
                    </m:r>
                    <m:sSub>
                      <m:sSubPr>
                        <m:ctrlPr>
                          <a:rPr lang="en-US" altLang="zh-CN" sz="1600" i="1">
                            <a:latin typeface="Cambria Math" panose="02040503050406030204" pitchFamily="18" charset="0"/>
                            <a:cs typeface="Cambria Math" panose="02040503050406030204" charset="0"/>
                          </a:rPr>
                        </m:ctrlPr>
                      </m:sSubPr>
                      <m:e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𝑉</m:t>
                        </m:r>
                      </m:e>
                      <m:sub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𝑉𝑆𝑇𝐴𝑅𝑇</m:t>
                        </m:r>
                      </m:sub>
                    </m:sSub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+</m:t>
                    </m:r>
                    <m:sSub>
                      <m:sSubPr>
                        <m:ctrlPr>
                          <a:rPr lang="en-US" altLang="zh-CN" sz="1600" i="1">
                            <a:latin typeface="Cambria Math" panose="02040503050406030204" pitchFamily="18" charset="0"/>
                            <a:cs typeface="Cambria Math" panose="02040503050406030204" charset="0"/>
                          </a:rPr>
                        </m:ctrlPr>
                      </m:sSubPr>
                      <m:e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𝑎</m:t>
                        </m:r>
                      </m:e>
                      <m:sub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𝐴</m:t>
                        </m:r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1</m:t>
                        </m:r>
                      </m:sub>
                    </m:sSub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 </m:t>
                    </m:r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𝑡</m:t>
                    </m:r>
                  </m:oMath>
                </m:oMathPara>
              </a14:m>
              <a:endParaRPr lang="zh-CN" altLang="en-US" sz="1600"/>
            </a:p>
          </xdr:txBody>
        </xdr:sp>
      </mc:Choice>
      <mc:Fallback xmlns:r="http://schemas.openxmlformats.org/officeDocument/2006/relationships" xmlns="">
        <xdr:sp>
          <xdr:nvSpPr>
            <xdr:cNvPr id="5" name="文本框 4"/>
            <xdr:cNvSpPr txBox="1"/>
          </xdr:nvSpPr>
          <xdr:spPr>
            <a:xfrm>
              <a:off x="1529715" y="8695690"/>
              <a:ext cx="2103120" cy="34734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p>
              <a:pPr algn="l"/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𝑉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𝑉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1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𝑉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𝑉𝑆𝑇𝐴𝑅𝑇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+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𝑎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𝐴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1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 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𝑡</a:t>
              </a:r>
              <a:endParaRPr lang="zh-CN" altLang="en-US" sz="1600"/>
            </a:p>
          </xdr:txBody>
        </xdr:sp>
      </mc:Fallback>
    </mc:AlternateContent>
    <xdr:clientData/>
  </xdr:oneCellAnchor>
  <xdr:oneCellAnchor>
    <xdr:from>
      <xdr:col>2</xdr:col>
      <xdr:colOff>90170</xdr:colOff>
      <xdr:row>47</xdr:row>
      <xdr:rowOff>71120</xdr:rowOff>
    </xdr:from>
    <xdr:ext cx="2258695" cy="33401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文本框 6">
              <a:extLst>
                <a:ext uri="{FF2B5EF4-FFF2-40B4-BE49-F238E27FC236}">
                  <a16:creationId xmlns:a16="http://schemas.microsoft.com/office/drawing/2014/main" id="{00000000-0008-0000-0100-000007000000}"/>
                </a:ext>
              </a:extLst>
            </xdr:cNvPr>
            <xdr:cNvSpPr txBox="1"/>
          </xdr:nvSpPr>
          <xdr:spPr>
            <a:xfrm>
              <a:off x="1647825" y="10205720"/>
              <a:ext cx="2258695" cy="33401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𝑉</m:t>
                    </m:r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1=</m:t>
                    </m:r>
                    <m:rad>
                      <m:radPr>
                        <m:degHide m:val="on"/>
                        <m:ctrlPr>
                          <a:rPr lang="en-US" altLang="zh-CN" sz="1600" i="1">
                            <a:latin typeface="Cambria Math" panose="02040503050406030204" pitchFamily="18" charset="0"/>
                            <a:cs typeface="Cambria Math" panose="02040503050406030204" charset="0"/>
                          </a:rPr>
                        </m:ctrlPr>
                      </m:radPr>
                      <m:deg/>
                      <m:e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𝑆𝑇𝐸𝑃</m:t>
                        </m:r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∗</m:t>
                        </m:r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𝐴</m:t>
                        </m:r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1∗256</m:t>
                        </m:r>
                      </m:e>
                    </m:rad>
                  </m:oMath>
                </m:oMathPara>
              </a14:m>
              <a:endParaRPr lang="zh-CN" altLang="en-US" sz="1600"/>
            </a:p>
          </xdr:txBody>
        </xdr:sp>
      </mc:Choice>
      <mc:Fallback xmlns:r="http://schemas.openxmlformats.org/officeDocument/2006/relationships" xmlns="">
        <xdr:sp>
          <xdr:nvSpPr>
            <xdr:cNvPr id="7" name="文本框 6"/>
            <xdr:cNvSpPr txBox="1"/>
          </xdr:nvSpPr>
          <xdr:spPr>
            <a:xfrm>
              <a:off x="1647825" y="10205720"/>
              <a:ext cx="2258695" cy="33401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p>
              <a:pPr algn="l"/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𝑉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1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√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𝑆𝑇𝐸𝑃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∗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𝐴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1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∗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256</a:t>
              </a:r>
              <a:endParaRPr lang="zh-CN" altLang="en-US" sz="1600"/>
            </a:p>
          </xdr:txBody>
        </xdr:sp>
      </mc:Fallback>
    </mc:AlternateContent>
    <xdr:clientData/>
  </xdr:oneCellAnchor>
  <xdr:oneCellAnchor>
    <xdr:from>
      <xdr:col>2</xdr:col>
      <xdr:colOff>10160</xdr:colOff>
      <xdr:row>52</xdr:row>
      <xdr:rowOff>209550</xdr:rowOff>
    </xdr:from>
    <xdr:ext cx="2141855" cy="5600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文本框 7">
              <a:extLst>
                <a:ext uri="{FF2B5EF4-FFF2-40B4-BE49-F238E27FC236}">
                  <a16:creationId xmlns:a16="http://schemas.microsoft.com/office/drawing/2014/main" id="{00000000-0008-0000-0100-000008000000}"/>
                </a:ext>
              </a:extLst>
            </xdr:cNvPr>
            <xdr:cNvSpPr txBox="1"/>
          </xdr:nvSpPr>
          <xdr:spPr>
            <a:xfrm>
              <a:off x="1567815" y="11614150"/>
              <a:ext cx="2141855" cy="56007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>
              <a:defPPr>
                <a:defRPr lang="zh-CN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𝑆</m:t>
                    </m:r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=</m:t>
                    </m:r>
                    <m:sSub>
                      <m:sSubPr>
                        <m:ctrlPr>
                          <a:rPr lang="en-US" altLang="zh-CN" sz="1600" i="1">
                            <a:latin typeface="Cambria Math" panose="02040503050406030204" pitchFamily="18" charset="0"/>
                            <a:cs typeface="Cambria Math" panose="02040503050406030204" charset="0"/>
                          </a:rPr>
                        </m:ctrlPr>
                      </m:sSubPr>
                      <m:e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𝑉</m:t>
                        </m:r>
                      </m:e>
                      <m:sub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𝑉</m:t>
                        </m:r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1</m:t>
                        </m:r>
                      </m:sub>
                    </m:sSub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 </m:t>
                    </m:r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𝑡</m:t>
                    </m:r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+</m:t>
                    </m:r>
                    <m:f>
                      <m:fPr>
                        <m:ctrlPr>
                          <a:rPr lang="en-US" altLang="zh-CN" sz="1600" i="1">
                            <a:latin typeface="Cambria Math" panose="02040503050406030204" pitchFamily="18" charset="0"/>
                            <a:cs typeface="Cambria Math" panose="02040503050406030204" charset="0"/>
                          </a:rPr>
                        </m:ctrlPr>
                      </m:fPr>
                      <m:num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1</m:t>
                        </m:r>
                      </m:num>
                      <m:den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2</m:t>
                        </m:r>
                      </m:den>
                    </m:f>
                    <m:sSub>
                      <m:sSubPr>
                        <m:ctrlPr>
                          <a:rPr lang="en-US" altLang="zh-CN" sz="1600" i="1">
                            <a:latin typeface="Cambria Math" panose="02040503050406030204" pitchFamily="18" charset="0"/>
                            <a:cs typeface="Cambria Math" panose="02040503050406030204" charset="0"/>
                          </a:rPr>
                        </m:ctrlPr>
                      </m:sSubPr>
                      <m:e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𝑎</m:t>
                        </m:r>
                      </m:e>
                      <m:sub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𝐴𝑀𝐴𝑋</m:t>
                        </m:r>
                      </m:sub>
                    </m:sSub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 </m:t>
                    </m:r>
                    <m:sSup>
                      <m:sSupPr>
                        <m:ctrlPr>
                          <a:rPr lang="en-US" altLang="zh-CN" sz="1600" i="1">
                            <a:latin typeface="Cambria Math" panose="02040503050406030204" pitchFamily="18" charset="0"/>
                            <a:cs typeface="Cambria Math" panose="02040503050406030204" charset="0"/>
                          </a:rPr>
                        </m:ctrlPr>
                      </m:sSupPr>
                      <m:e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𝑡</m:t>
                        </m:r>
                      </m:e>
                      <m:sup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zh-CN" altLang="en-US" sz="1600"/>
            </a:p>
          </xdr:txBody>
        </xdr:sp>
      </mc:Choice>
      <mc:Fallback xmlns:r="http://schemas.openxmlformats.org/officeDocument/2006/relationships" xmlns="">
        <xdr:sp>
          <xdr:nvSpPr>
            <xdr:cNvPr id="8" name="文本框 7"/>
            <xdr:cNvSpPr txBox="1"/>
          </xdr:nvSpPr>
          <xdr:spPr>
            <a:xfrm>
              <a:off x="1567815" y="11614150"/>
              <a:ext cx="2141855" cy="56007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>
              <a:defPPr>
                <a:defRPr lang="zh-CN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𝑆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𝑉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𝑉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1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 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𝑡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+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1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/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2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𝑎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𝐴𝑀𝐴𝑋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 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𝑡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2</a:t>
              </a:r>
              <a:endParaRPr lang="zh-CN" altLang="en-US" sz="1600"/>
            </a:p>
          </xdr:txBody>
        </xdr:sp>
      </mc:Fallback>
    </mc:AlternateContent>
    <xdr:clientData/>
  </xdr:oneCellAnchor>
  <xdr:oneCellAnchor>
    <xdr:from>
      <xdr:col>2</xdr:col>
      <xdr:colOff>33020</xdr:colOff>
      <xdr:row>59</xdr:row>
      <xdr:rowOff>61595</xdr:rowOff>
    </xdr:from>
    <xdr:ext cx="2225675" cy="34734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0" name="文本框 9">
              <a:extLst>
                <a:ext uri="{FF2B5EF4-FFF2-40B4-BE49-F238E27FC236}">
                  <a16:creationId xmlns:a16="http://schemas.microsoft.com/office/drawing/2014/main" id="{00000000-0008-0000-0100-00000A000000}"/>
                </a:ext>
              </a:extLst>
            </xdr:cNvPr>
            <xdr:cNvSpPr txBox="1"/>
          </xdr:nvSpPr>
          <xdr:spPr>
            <a:xfrm>
              <a:off x="1590675" y="13244195"/>
              <a:ext cx="2225675" cy="34734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>
              <a:defPPr>
                <a:defRPr lang="zh-CN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600" i="1">
                            <a:latin typeface="Cambria Math" panose="02040503050406030204" pitchFamily="18" charset="0"/>
                            <a:cs typeface="Cambria Math" panose="02040503050406030204" charset="0"/>
                          </a:rPr>
                        </m:ctrlPr>
                      </m:sSubPr>
                      <m:e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𝑉</m:t>
                        </m:r>
                      </m:e>
                      <m:sub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𝑉𝑀𝐴𝑋</m:t>
                        </m:r>
                      </m:sub>
                    </m:sSub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=</m:t>
                    </m:r>
                    <m:sSub>
                      <m:sSubPr>
                        <m:ctrlPr>
                          <a:rPr lang="en-US" altLang="zh-CN" sz="1600" i="1">
                            <a:latin typeface="Cambria Math" panose="02040503050406030204" pitchFamily="18" charset="0"/>
                            <a:cs typeface="Cambria Math" panose="02040503050406030204" charset="0"/>
                          </a:rPr>
                        </m:ctrlPr>
                      </m:sSubPr>
                      <m:e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𝑉</m:t>
                        </m:r>
                      </m:e>
                      <m:sub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𝑉</m:t>
                        </m:r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1</m:t>
                        </m:r>
                      </m:sub>
                    </m:sSub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+</m:t>
                    </m:r>
                    <m:sSub>
                      <m:sSubPr>
                        <m:ctrlPr>
                          <a:rPr lang="en-US" altLang="zh-CN" sz="1600" i="1">
                            <a:latin typeface="Cambria Math" panose="02040503050406030204" pitchFamily="18" charset="0"/>
                            <a:cs typeface="Cambria Math" panose="02040503050406030204" charset="0"/>
                          </a:rPr>
                        </m:ctrlPr>
                      </m:sSubPr>
                      <m:e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𝑎</m:t>
                        </m:r>
                      </m:e>
                      <m:sub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𝐴𝑀𝐴𝑋</m:t>
                        </m:r>
                      </m:sub>
                    </m:sSub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 </m:t>
                    </m:r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𝑡</m:t>
                    </m:r>
                  </m:oMath>
                </m:oMathPara>
              </a14:m>
              <a:endParaRPr lang="zh-CN" altLang="en-US" sz="1600"/>
            </a:p>
          </xdr:txBody>
        </xdr:sp>
      </mc:Choice>
      <mc:Fallback xmlns:r="http://schemas.openxmlformats.org/officeDocument/2006/relationships" xmlns="">
        <xdr:sp>
          <xdr:nvSpPr>
            <xdr:cNvPr id="10" name="文本框 9"/>
            <xdr:cNvSpPr txBox="1"/>
          </xdr:nvSpPr>
          <xdr:spPr>
            <a:xfrm>
              <a:off x="1590675" y="13244195"/>
              <a:ext cx="2225675" cy="34734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>
              <a:defPPr>
                <a:defRPr lang="zh-CN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𝑉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𝑉𝑀𝐴𝑋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𝑉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𝑉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1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+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𝑎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𝐴𝑀𝐴𝑋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 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𝑡</a:t>
              </a:r>
              <a:endParaRPr lang="zh-CN" altLang="en-US" sz="1600"/>
            </a:p>
          </xdr:txBody>
        </xdr:sp>
      </mc:Fallback>
    </mc:AlternateContent>
    <xdr:clientData/>
  </xdr:oneCellAnchor>
  <xdr:oneCellAnchor>
    <xdr:from>
      <xdr:col>2</xdr:col>
      <xdr:colOff>128270</xdr:colOff>
      <xdr:row>68</xdr:row>
      <xdr:rowOff>61595</xdr:rowOff>
    </xdr:from>
    <xdr:ext cx="1233805" cy="34734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2" name="文本框 11">
              <a:extLst>
                <a:ext uri="{FF2B5EF4-FFF2-40B4-BE49-F238E27FC236}">
                  <a16:creationId xmlns:a16="http://schemas.microsoft.com/office/drawing/2014/main" id="{00000000-0008-0000-0100-00000C000000}"/>
                </a:ext>
              </a:extLst>
            </xdr:cNvPr>
            <xdr:cNvSpPr txBox="1"/>
          </xdr:nvSpPr>
          <xdr:spPr>
            <a:xfrm>
              <a:off x="1685925" y="15530195"/>
              <a:ext cx="1233805" cy="34734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/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𝑆</m:t>
                    </m:r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=</m:t>
                    </m:r>
                    <m:sSub>
                      <m:sSubPr>
                        <m:ctrlPr>
                          <a:rPr lang="en-US" altLang="zh-CN" sz="1600" i="1">
                            <a:latin typeface="Cambria Math" panose="02040503050406030204" pitchFamily="18" charset="0"/>
                            <a:cs typeface="Cambria Math" panose="02040503050406030204" charset="0"/>
                          </a:rPr>
                        </m:ctrlPr>
                      </m:sSubPr>
                      <m:e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𝑉</m:t>
                        </m:r>
                      </m:e>
                      <m:sub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𝑉𝑀𝐴𝑋</m:t>
                        </m:r>
                      </m:sub>
                    </m:sSub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 </m:t>
                    </m:r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𝑡</m:t>
                    </m:r>
                  </m:oMath>
                </m:oMathPara>
              </a14:m>
              <a:endParaRPr lang="zh-CN" altLang="en-US" sz="1600"/>
            </a:p>
          </xdr:txBody>
        </xdr:sp>
      </mc:Choice>
      <mc:Fallback xmlns:r="http://schemas.openxmlformats.org/officeDocument/2006/relationships" xmlns="">
        <xdr:sp>
          <xdr:nvSpPr>
            <xdr:cNvPr id="12" name="文本框 11"/>
            <xdr:cNvSpPr txBox="1"/>
          </xdr:nvSpPr>
          <xdr:spPr>
            <a:xfrm>
              <a:off x="1685925" y="15530195"/>
              <a:ext cx="1233805" cy="34734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p>
              <a:pPr algn="l"/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𝑆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𝑉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𝑉𝑀𝐴𝑋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 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𝑡</a:t>
              </a:r>
              <a:endParaRPr lang="zh-CN" altLang="en-US" sz="1600"/>
            </a:p>
          </xdr:txBody>
        </xdr:sp>
      </mc:Fallback>
    </mc:AlternateContent>
    <xdr:clientData/>
  </xdr:oneCellAnchor>
  <xdr:oneCellAnchor>
    <xdr:from>
      <xdr:col>4</xdr:col>
      <xdr:colOff>753110</xdr:colOff>
      <xdr:row>73</xdr:row>
      <xdr:rowOff>228600</xdr:rowOff>
    </xdr:from>
    <xdr:ext cx="2390775" cy="5600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3" name="文本框 12">
              <a:extLst>
                <a:ext uri="{FF2B5EF4-FFF2-40B4-BE49-F238E27FC236}">
                  <a16:creationId xmlns:a16="http://schemas.microsoft.com/office/drawing/2014/main" id="{00000000-0008-0000-0100-00000D000000}"/>
                </a:ext>
              </a:extLst>
            </xdr:cNvPr>
            <xdr:cNvSpPr txBox="1"/>
          </xdr:nvSpPr>
          <xdr:spPr>
            <a:xfrm>
              <a:off x="4007485" y="16967200"/>
              <a:ext cx="2390775" cy="56007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>
              <a:defPPr>
                <a:defRPr lang="zh-CN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𝑆</m:t>
                    </m:r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=</m:t>
                    </m:r>
                    <m:sSub>
                      <m:sSubPr>
                        <m:ctrlPr>
                          <a:rPr lang="en-US" altLang="zh-CN" sz="1600" i="1">
                            <a:latin typeface="Cambria Math" panose="02040503050406030204" pitchFamily="18" charset="0"/>
                            <a:cs typeface="Cambria Math" panose="02040503050406030204" charset="0"/>
                          </a:rPr>
                        </m:ctrlPr>
                      </m:sSubPr>
                      <m:e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𝑉</m:t>
                        </m:r>
                      </m:e>
                      <m:sub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𝑉𝑀𝐴𝑋</m:t>
                        </m:r>
                      </m:sub>
                    </m:sSub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 </m:t>
                    </m:r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𝑡</m:t>
                    </m:r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+</m:t>
                    </m:r>
                    <m:f>
                      <m:fPr>
                        <m:ctrlPr>
                          <a:rPr lang="en-US" altLang="zh-CN" sz="1600" i="1">
                            <a:latin typeface="Cambria Math" panose="02040503050406030204" pitchFamily="18" charset="0"/>
                            <a:cs typeface="Cambria Math" panose="02040503050406030204" charset="0"/>
                          </a:rPr>
                        </m:ctrlPr>
                      </m:fPr>
                      <m:num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1</m:t>
                        </m:r>
                      </m:num>
                      <m:den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2</m:t>
                        </m:r>
                      </m:den>
                    </m:f>
                    <m:sSub>
                      <m:sSubPr>
                        <m:ctrlPr>
                          <a:rPr lang="en-US" altLang="zh-CN" sz="1600" i="1">
                            <a:latin typeface="Cambria Math" panose="02040503050406030204" pitchFamily="18" charset="0"/>
                            <a:cs typeface="Cambria Math" panose="02040503050406030204" charset="0"/>
                          </a:rPr>
                        </m:ctrlPr>
                      </m:sSubPr>
                      <m:e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𝑎</m:t>
                        </m:r>
                      </m:e>
                      <m:sub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𝐷𝑀𝐴𝑋</m:t>
                        </m:r>
                      </m:sub>
                    </m:sSub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 </m:t>
                    </m:r>
                    <m:sSup>
                      <m:sSupPr>
                        <m:ctrlPr>
                          <a:rPr lang="en-US" altLang="zh-CN" sz="1600" i="1">
                            <a:latin typeface="Cambria Math" panose="02040503050406030204" pitchFamily="18" charset="0"/>
                            <a:cs typeface="Cambria Math" panose="02040503050406030204" charset="0"/>
                          </a:rPr>
                        </m:ctrlPr>
                      </m:sSupPr>
                      <m:e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𝑡</m:t>
                        </m:r>
                      </m:e>
                      <m:sup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zh-CN" altLang="en-US" sz="1600"/>
            </a:p>
          </xdr:txBody>
        </xdr:sp>
      </mc:Choice>
      <mc:Fallback xmlns:r="http://schemas.openxmlformats.org/officeDocument/2006/relationships" xmlns="">
        <xdr:sp>
          <xdr:nvSpPr>
            <xdr:cNvPr id="13" name="文本框 12"/>
            <xdr:cNvSpPr txBox="1"/>
          </xdr:nvSpPr>
          <xdr:spPr>
            <a:xfrm>
              <a:off x="4007485" y="16967200"/>
              <a:ext cx="2390775" cy="56007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>
              <a:defPPr>
                <a:defRPr lang="zh-CN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𝑆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𝑉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𝑉𝑀𝐴𝑋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 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𝑡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+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1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/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2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𝑎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𝐷𝑀𝐴𝑋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 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𝑡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2</a:t>
              </a:r>
              <a:endParaRPr lang="zh-CN" altLang="en-US" sz="1600"/>
            </a:p>
          </xdr:txBody>
        </xdr:sp>
      </mc:Fallback>
    </mc:AlternateContent>
    <xdr:clientData/>
  </xdr:oneCellAnchor>
  <xdr:oneCellAnchor>
    <xdr:from>
      <xdr:col>2</xdr:col>
      <xdr:colOff>95885</xdr:colOff>
      <xdr:row>74</xdr:row>
      <xdr:rowOff>76200</xdr:rowOff>
    </xdr:from>
    <xdr:ext cx="2233930" cy="34734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4" name="文本框 13">
              <a:extLst>
                <a:ext uri="{FF2B5EF4-FFF2-40B4-BE49-F238E27FC236}">
                  <a16:creationId xmlns:a16="http://schemas.microsoft.com/office/drawing/2014/main" id="{00000000-0008-0000-0100-00000E000000}"/>
                </a:ext>
              </a:extLst>
            </xdr:cNvPr>
            <xdr:cNvSpPr txBox="1"/>
          </xdr:nvSpPr>
          <xdr:spPr>
            <a:xfrm>
              <a:off x="1653540" y="17068800"/>
              <a:ext cx="2233930" cy="34734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>
              <a:defPPr>
                <a:defRPr lang="zh-CN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600" i="1">
                            <a:latin typeface="Cambria Math" panose="02040503050406030204" pitchFamily="18" charset="0"/>
                            <a:cs typeface="Cambria Math" panose="02040503050406030204" charset="0"/>
                          </a:rPr>
                        </m:ctrlPr>
                      </m:sSubPr>
                      <m:e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𝑉</m:t>
                        </m:r>
                      </m:e>
                      <m:sub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𝑉</m:t>
                        </m:r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1</m:t>
                        </m:r>
                      </m:sub>
                    </m:sSub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=</m:t>
                    </m:r>
                    <m:sSub>
                      <m:sSubPr>
                        <m:ctrlPr>
                          <a:rPr lang="en-US" altLang="zh-CN" sz="1600" i="1">
                            <a:latin typeface="Cambria Math" panose="02040503050406030204" pitchFamily="18" charset="0"/>
                            <a:cs typeface="Cambria Math" panose="02040503050406030204" charset="0"/>
                          </a:rPr>
                        </m:ctrlPr>
                      </m:sSubPr>
                      <m:e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𝑉</m:t>
                        </m:r>
                      </m:e>
                      <m:sub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𝑉𝑀𝐴𝑋</m:t>
                        </m:r>
                      </m:sub>
                    </m:sSub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+</m:t>
                    </m:r>
                    <m:sSub>
                      <m:sSubPr>
                        <m:ctrlPr>
                          <a:rPr lang="en-US" altLang="zh-CN" sz="1600" i="1">
                            <a:latin typeface="Cambria Math" panose="02040503050406030204" pitchFamily="18" charset="0"/>
                            <a:cs typeface="Cambria Math" panose="02040503050406030204" charset="0"/>
                          </a:rPr>
                        </m:ctrlPr>
                      </m:sSubPr>
                      <m:e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𝑎</m:t>
                        </m:r>
                      </m:e>
                      <m:sub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𝐷𝑀𝐴𝑋</m:t>
                        </m:r>
                      </m:sub>
                    </m:sSub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 </m:t>
                    </m:r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𝑡</m:t>
                    </m:r>
                  </m:oMath>
                </m:oMathPara>
              </a14:m>
              <a:endParaRPr lang="zh-CN" altLang="en-US" sz="1600"/>
            </a:p>
          </xdr:txBody>
        </xdr:sp>
      </mc:Choice>
      <mc:Fallback xmlns:r="http://schemas.openxmlformats.org/officeDocument/2006/relationships" xmlns="">
        <xdr:sp>
          <xdr:nvSpPr>
            <xdr:cNvPr id="14" name="文本框 13"/>
            <xdr:cNvSpPr txBox="1"/>
          </xdr:nvSpPr>
          <xdr:spPr>
            <a:xfrm>
              <a:off x="1653540" y="17068800"/>
              <a:ext cx="2233930" cy="34734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>
              <a:defPPr>
                <a:defRPr lang="zh-CN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𝑉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𝑉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1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𝑉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𝑉𝑀𝐴𝑋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+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𝑎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𝐷𝑀𝐴𝑋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 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𝑡</a:t>
              </a:r>
              <a:endParaRPr lang="zh-CN" altLang="en-US" sz="1600"/>
            </a:p>
          </xdr:txBody>
        </xdr:sp>
      </mc:Fallback>
    </mc:AlternateContent>
    <xdr:clientData/>
  </xdr:oneCellAnchor>
  <xdr:oneCellAnchor>
    <xdr:from>
      <xdr:col>2</xdr:col>
      <xdr:colOff>105410</xdr:colOff>
      <xdr:row>87</xdr:row>
      <xdr:rowOff>66675</xdr:rowOff>
    </xdr:from>
    <xdr:ext cx="2051685" cy="34734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0" name="文本框 19">
              <a:extLst>
                <a:ext uri="{FF2B5EF4-FFF2-40B4-BE49-F238E27FC236}">
                  <a16:creationId xmlns:a16="http://schemas.microsoft.com/office/drawing/2014/main" id="{00000000-0008-0000-0100-000014000000}"/>
                </a:ext>
              </a:extLst>
            </xdr:cNvPr>
            <xdr:cNvSpPr txBox="1"/>
          </xdr:nvSpPr>
          <xdr:spPr>
            <a:xfrm>
              <a:off x="1663065" y="20361275"/>
              <a:ext cx="2051685" cy="34734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>
              <a:defPPr>
                <a:defRPr lang="zh-CN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600" i="1">
                            <a:latin typeface="Cambria Math" panose="02040503050406030204" pitchFamily="18" charset="0"/>
                            <a:cs typeface="Cambria Math" panose="02040503050406030204" charset="0"/>
                          </a:rPr>
                        </m:ctrlPr>
                      </m:sSubPr>
                      <m:e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𝑉</m:t>
                        </m:r>
                      </m:e>
                      <m:sub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𝑉𝑆𝑇𝑂𝑃</m:t>
                        </m:r>
                      </m:sub>
                    </m:sSub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=</m:t>
                    </m:r>
                    <m:sSub>
                      <m:sSubPr>
                        <m:ctrlPr>
                          <a:rPr lang="en-US" altLang="zh-CN" sz="1600" i="1">
                            <a:latin typeface="Cambria Math" panose="02040503050406030204" pitchFamily="18" charset="0"/>
                            <a:cs typeface="Cambria Math" panose="02040503050406030204" charset="0"/>
                          </a:rPr>
                        </m:ctrlPr>
                      </m:sSubPr>
                      <m:e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𝑉</m:t>
                        </m:r>
                      </m:e>
                      <m:sub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𝑉</m:t>
                        </m:r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1</m:t>
                        </m:r>
                      </m:sub>
                    </m:sSub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+</m:t>
                    </m:r>
                    <m:sSub>
                      <m:sSubPr>
                        <m:ctrlPr>
                          <a:rPr lang="en-US" altLang="zh-CN" sz="1600" i="1">
                            <a:latin typeface="Cambria Math" panose="02040503050406030204" pitchFamily="18" charset="0"/>
                            <a:cs typeface="Cambria Math" panose="02040503050406030204" charset="0"/>
                          </a:rPr>
                        </m:ctrlPr>
                      </m:sSubPr>
                      <m:e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𝑎</m:t>
                        </m:r>
                      </m:e>
                      <m:sub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𝐷</m:t>
                        </m:r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1</m:t>
                        </m:r>
                      </m:sub>
                    </m:sSub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 </m:t>
                    </m:r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𝑡</m:t>
                    </m:r>
                  </m:oMath>
                </m:oMathPara>
              </a14:m>
              <a:endParaRPr lang="zh-CN" altLang="en-US" sz="1600"/>
            </a:p>
          </xdr:txBody>
        </xdr:sp>
      </mc:Choice>
      <mc:Fallback xmlns:r="http://schemas.openxmlformats.org/officeDocument/2006/relationships" xmlns="">
        <xdr:sp>
          <xdr:nvSpPr>
            <xdr:cNvPr id="20" name="文本框 19"/>
            <xdr:cNvSpPr txBox="1"/>
          </xdr:nvSpPr>
          <xdr:spPr>
            <a:xfrm>
              <a:off x="1663065" y="20361275"/>
              <a:ext cx="2051685" cy="34734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>
              <a:defPPr>
                <a:defRPr lang="zh-CN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𝑉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𝑉𝑆𝑇𝑂𝑃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𝑉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𝑉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1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+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𝑎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𝐷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1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 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𝑡</a:t>
              </a:r>
              <a:endParaRPr lang="zh-CN" altLang="en-US" sz="1600"/>
            </a:p>
          </xdr:txBody>
        </xdr:sp>
      </mc:Fallback>
    </mc:AlternateContent>
    <xdr:clientData/>
  </xdr:oneCellAnchor>
  <xdr:oneCellAnchor>
    <xdr:from>
      <xdr:col>4</xdr:col>
      <xdr:colOff>800735</xdr:colOff>
      <xdr:row>87</xdr:row>
      <xdr:rowOff>3175</xdr:rowOff>
    </xdr:from>
    <xdr:ext cx="1909445" cy="56007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1" name="文本框 20">
              <a:extLst>
                <a:ext uri="{FF2B5EF4-FFF2-40B4-BE49-F238E27FC236}">
                  <a16:creationId xmlns:a16="http://schemas.microsoft.com/office/drawing/2014/main" id="{00000000-0008-0000-0100-000015000000}"/>
                </a:ext>
              </a:extLst>
            </xdr:cNvPr>
            <xdr:cNvSpPr txBox="1"/>
          </xdr:nvSpPr>
          <xdr:spPr>
            <a:xfrm>
              <a:off x="4055110" y="20297775"/>
              <a:ext cx="1909445" cy="56007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>
              <a:defPPr>
                <a:defRPr lang="zh-CN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𝑆</m:t>
                    </m:r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=</m:t>
                    </m:r>
                    <m:sSub>
                      <m:sSubPr>
                        <m:ctrlPr>
                          <a:rPr lang="en-US" altLang="zh-CN" sz="1600" i="1">
                            <a:latin typeface="Cambria Math" panose="02040503050406030204" pitchFamily="18" charset="0"/>
                            <a:cs typeface="Cambria Math" panose="02040503050406030204" charset="0"/>
                          </a:rPr>
                        </m:ctrlPr>
                      </m:sSubPr>
                      <m:e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𝑉</m:t>
                        </m:r>
                      </m:e>
                      <m:sub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𝑉</m:t>
                        </m:r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1</m:t>
                        </m:r>
                      </m:sub>
                    </m:sSub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 </m:t>
                    </m:r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𝑡</m:t>
                    </m:r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+</m:t>
                    </m:r>
                    <m:f>
                      <m:fPr>
                        <m:ctrlPr>
                          <a:rPr lang="en-US" altLang="zh-CN" sz="1600" i="1">
                            <a:latin typeface="Cambria Math" panose="02040503050406030204" pitchFamily="18" charset="0"/>
                            <a:cs typeface="Cambria Math" panose="02040503050406030204" charset="0"/>
                          </a:rPr>
                        </m:ctrlPr>
                      </m:fPr>
                      <m:num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1</m:t>
                        </m:r>
                      </m:num>
                      <m:den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2</m:t>
                        </m:r>
                      </m:den>
                    </m:f>
                    <m:sSub>
                      <m:sSubPr>
                        <m:ctrlPr>
                          <a:rPr lang="en-US" altLang="zh-CN" sz="1600" i="1">
                            <a:latin typeface="Cambria Math" panose="02040503050406030204" pitchFamily="18" charset="0"/>
                            <a:cs typeface="Cambria Math" panose="02040503050406030204" charset="0"/>
                          </a:rPr>
                        </m:ctrlPr>
                      </m:sSubPr>
                      <m:e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𝑎</m:t>
                        </m:r>
                      </m:e>
                      <m:sub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𝐷</m:t>
                        </m:r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1</m:t>
                        </m:r>
                      </m:sub>
                    </m:sSub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 </m:t>
                    </m:r>
                    <m:sSup>
                      <m:sSupPr>
                        <m:ctrlPr>
                          <a:rPr lang="en-US" altLang="zh-CN" sz="1600" i="1">
                            <a:latin typeface="Cambria Math" panose="02040503050406030204" pitchFamily="18" charset="0"/>
                            <a:cs typeface="Cambria Math" panose="02040503050406030204" charset="0"/>
                          </a:rPr>
                        </m:ctrlPr>
                      </m:sSupPr>
                      <m:e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𝑡</m:t>
                        </m:r>
                      </m:e>
                      <m:sup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zh-CN" altLang="en-US" sz="1600"/>
            </a:p>
          </xdr:txBody>
        </xdr:sp>
      </mc:Choice>
      <mc:Fallback xmlns:r="http://schemas.openxmlformats.org/officeDocument/2006/relationships" xmlns="">
        <xdr:sp>
          <xdr:nvSpPr>
            <xdr:cNvPr id="21" name="文本框 20"/>
            <xdr:cNvSpPr txBox="1"/>
          </xdr:nvSpPr>
          <xdr:spPr>
            <a:xfrm>
              <a:off x="4055110" y="20297775"/>
              <a:ext cx="1909445" cy="56007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>
              <a:defPPr>
                <a:defRPr lang="zh-CN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𝑆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𝑉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𝑉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1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 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𝑡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+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1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/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2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𝑎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𝐷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1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 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𝑡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2</a:t>
              </a:r>
              <a:endParaRPr lang="zh-CN" altLang="en-US" sz="1600"/>
            </a:p>
          </xdr:txBody>
        </xdr:sp>
      </mc:Fallback>
    </mc:AlternateContent>
    <xdr:clientData/>
  </xdr:oneCellAnchor>
  <xdr:oneCellAnchor>
    <xdr:from>
      <xdr:col>2</xdr:col>
      <xdr:colOff>76835</xdr:colOff>
      <xdr:row>38</xdr:row>
      <xdr:rowOff>80645</xdr:rowOff>
    </xdr:from>
    <xdr:ext cx="2764790" cy="3530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6" name="文本框 15">
              <a:extLst>
                <a:ext uri="{FF2B5EF4-FFF2-40B4-BE49-F238E27FC236}">
                  <a16:creationId xmlns:a16="http://schemas.microsoft.com/office/drawing/2014/main" id="{00000000-0008-0000-0100-000010000000}"/>
                </a:ext>
              </a:extLst>
            </xdr:cNvPr>
            <xdr:cNvSpPr txBox="1"/>
          </xdr:nvSpPr>
          <xdr:spPr>
            <a:xfrm>
              <a:off x="1634490" y="7929245"/>
              <a:ext cx="2764790" cy="35306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>
              <a:defPPr>
                <a:defRPr lang="zh-CN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A1</a:t>
              </a:r>
              <a14:m>
                <m:oMath xmlns:m="http://schemas.openxmlformats.org/officeDocument/2006/math">
                  <m:r>
                    <a:rPr lang="en-US" altLang="zh-CN" sz="1600" i="1">
                      <a:latin typeface="Cambria Math" panose="02040503050406030204" charset="0"/>
                      <a:cs typeface="Cambria Math" panose="02040503050406030204" charset="0"/>
                    </a:rPr>
                    <m:t>=</m:t>
                  </m:r>
                  <m:sSub>
                    <m:sSubPr>
                      <m:ctrlPr>
                        <a:rPr lang="en-US" altLang="zh-CN" sz="1600" i="1">
                          <a:latin typeface="Cambria Math" panose="02040503050406030204" pitchFamily="18" charset="0"/>
                          <a:cs typeface="Cambria Math" panose="02040503050406030204" charset="0"/>
                        </a:rPr>
                      </m:ctrlPr>
                    </m:sSubPr>
                    <m:e>
                      <m:r>
                        <a:rPr lang="en-US" altLang="zh-CN" sz="1600" i="1">
                          <a:latin typeface="Cambria Math" panose="02040503050406030204" charset="0"/>
                          <a:cs typeface="Cambria Math" panose="02040503050406030204" charset="0"/>
                        </a:rPr>
                        <m:t>𝑎</m:t>
                      </m:r>
                    </m:e>
                    <m:sub>
                      <m:r>
                        <a:rPr lang="en-US" altLang="zh-CN" sz="1600" i="1">
                          <a:latin typeface="Cambria Math" panose="02040503050406030204" charset="0"/>
                          <a:cs typeface="Cambria Math" panose="02040503050406030204" charset="0"/>
                        </a:rPr>
                        <m:t>𝐴</m:t>
                      </m:r>
                      <m:r>
                        <a:rPr lang="en-US" altLang="zh-CN" sz="1600" i="1">
                          <a:latin typeface="Cambria Math" panose="02040503050406030204" charset="0"/>
                          <a:cs typeface="Cambria Math" panose="02040503050406030204" charset="0"/>
                        </a:rPr>
                        <m:t>1</m:t>
                      </m:r>
                    </m:sub>
                  </m:sSub>
                  <m:r>
                    <a:rPr lang="en-US" altLang="zh-CN" sz="1600" i="1">
                      <a:latin typeface="Cambria Math" panose="02040503050406030204" charset="0"/>
                      <a:cs typeface="Cambria Math" panose="02040503050406030204" charset="0"/>
                    </a:rPr>
                    <m:t>÷</m:t>
                  </m:r>
                  <m:sSubSup>
                    <m:sSubSupPr>
                      <m:ctrlPr>
                        <a:rPr lang="en-US" altLang="zh-CN" sz="1600" i="1">
                          <a:latin typeface="Cambria Math" panose="02040503050406030204" pitchFamily="18" charset="0"/>
                          <a:cs typeface="Cambria Math" panose="02040503050406030204" charset="0"/>
                        </a:rPr>
                      </m:ctrlPr>
                    </m:sSubSupPr>
                    <m:e>
                      <m:r>
                        <a:rPr lang="en-US" altLang="zh-CN" sz="1600" i="1">
                          <a:latin typeface="Cambria Math" panose="02040503050406030204" charset="0"/>
                          <a:cs typeface="Cambria Math" panose="02040503050406030204" charset="0"/>
                        </a:rPr>
                        <m:t>𝑓</m:t>
                      </m:r>
                    </m:e>
                    <m:sub>
                      <m:r>
                        <a:rPr lang="en-US" altLang="zh-CN" sz="1600" i="1">
                          <a:latin typeface="Cambria Math" panose="02040503050406030204" charset="0"/>
                          <a:cs typeface="Cambria Math" panose="02040503050406030204" charset="0"/>
                        </a:rPr>
                        <m:t>𝑐𝑙𝑘</m:t>
                      </m:r>
                    </m:sub>
                    <m:sup>
                      <m:r>
                        <a:rPr lang="en-US" altLang="zh-CN" sz="1600" i="1">
                          <a:latin typeface="Cambria Math" panose="02040503050406030204" charset="0"/>
                          <a:cs typeface="Cambria Math" panose="02040503050406030204" charset="0"/>
                        </a:rPr>
                        <m:t>2</m:t>
                      </m:r>
                    </m:sup>
                  </m:sSubSup>
                  <m:r>
                    <a:rPr lang="en-US" altLang="zh-CN" sz="1600" i="1">
                      <a:latin typeface="Cambria Math" panose="02040503050406030204" charset="0"/>
                      <a:cs typeface="Cambria Math" panose="02040503050406030204" charset="0"/>
                    </a:rPr>
                    <m:t>∗</m:t>
                  </m:r>
                  <m:sSup>
                    <m:sSupPr>
                      <m:ctrlPr>
                        <a:rPr lang="en-US" altLang="zh-CN" sz="1600" i="1">
                          <a:latin typeface="Cambria Math" panose="02040503050406030204" pitchFamily="18" charset="0"/>
                          <a:cs typeface="Cambria Math" panose="02040503050406030204" charset="0"/>
                        </a:rPr>
                      </m:ctrlPr>
                    </m:sSupPr>
                    <m:e>
                      <m:r>
                        <a:rPr lang="en-US" altLang="zh-CN" sz="1600" i="1">
                          <a:latin typeface="Cambria Math" panose="02040503050406030204" charset="0"/>
                          <a:cs typeface="Cambria Math" panose="02040503050406030204" charset="0"/>
                        </a:rPr>
                        <m:t>2</m:t>
                      </m:r>
                    </m:e>
                    <m:sup>
                      <m:r>
                        <a:rPr lang="en-US" altLang="zh-CN" sz="1600" i="1">
                          <a:latin typeface="Cambria Math" panose="02040503050406030204" charset="0"/>
                          <a:cs typeface="Cambria Math" panose="02040503050406030204" charset="0"/>
                        </a:rPr>
                        <m:t>41</m:t>
                      </m:r>
                    </m:sup>
                  </m:sSup>
                  <m:r>
                    <a:rPr lang="en-US" altLang="zh-CN" sz="1600" i="1">
                      <a:latin typeface="Cambria Math" panose="02040503050406030204" charset="0"/>
                      <a:cs typeface="Cambria Math" panose="02040503050406030204" charset="0"/>
                    </a:rPr>
                    <m:t>∗</m:t>
                  </m:r>
                  <m:r>
                    <a:rPr lang="en-US" altLang="zh-CN" sz="1600" i="1">
                      <a:latin typeface="Cambria Math" panose="02040503050406030204" charset="0"/>
                      <a:cs typeface="Cambria Math" panose="02040503050406030204" charset="0"/>
                    </a:rPr>
                    <m:t>𝐶𝑜𝑢𝑛𝑡</m:t>
                  </m:r>
                </m:oMath>
              </a14:m>
              <a:endParaRPr lang="en-US" altLang="zh-CN" sz="1600"/>
            </a:p>
          </xdr:txBody>
        </xdr:sp>
      </mc:Choice>
      <mc:Fallback xmlns:r="http://schemas.openxmlformats.org/officeDocument/2006/relationships" xmlns="">
        <xdr:sp>
          <xdr:nvSpPr>
            <xdr:cNvPr id="16" name="文本框 15"/>
            <xdr:cNvSpPr txBox="1"/>
          </xdr:nvSpPr>
          <xdr:spPr>
            <a:xfrm>
              <a:off x="1634490" y="7929245"/>
              <a:ext cx="2764790" cy="35306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>
              <a:defPPr>
                <a:defRPr lang="zh-CN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A1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𝑎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𝐴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1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÷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𝑓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𝑐𝑙𝑘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2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∗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2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41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∗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𝐶𝑜𝑢𝑛𝑡</a:t>
              </a:r>
              <a:endParaRPr lang="en-US" altLang="zh-CN" sz="1600"/>
            </a:p>
          </xdr:txBody>
        </xdr:sp>
      </mc:Fallback>
    </mc:AlternateContent>
    <xdr:clientData/>
  </xdr:oneCellAnchor>
  <xdr:oneCellAnchor>
    <xdr:from>
      <xdr:col>2</xdr:col>
      <xdr:colOff>54610</xdr:colOff>
      <xdr:row>44</xdr:row>
      <xdr:rowOff>62865</xdr:rowOff>
    </xdr:from>
    <xdr:ext cx="2805430" cy="3422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19" name="文本框 18">
              <a:extLst>
                <a:ext uri="{FF2B5EF4-FFF2-40B4-BE49-F238E27FC236}">
                  <a16:creationId xmlns:a16="http://schemas.microsoft.com/office/drawing/2014/main" id="{00000000-0008-0000-0100-000013000000}"/>
                </a:ext>
              </a:extLst>
            </xdr:cNvPr>
            <xdr:cNvSpPr txBox="1"/>
          </xdr:nvSpPr>
          <xdr:spPr>
            <a:xfrm>
              <a:off x="1612265" y="9435465"/>
              <a:ext cx="2805430" cy="34226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>
              <a:defPPr>
                <a:defRPr lang="zh-CN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altLang="zh-CN" sz="1600">
                        <a:latin typeface="Cambria Math" panose="02040503050406030204" charset="0"/>
                        <a:cs typeface="Cambria Math" panose="02040503050406030204" charset="0"/>
                      </a:rPr>
                      <m:t>V</m:t>
                    </m:r>
                    <m:r>
                      <a:rPr lang="en-US" altLang="zh-CN" sz="1600">
                        <a:latin typeface="Cambria Math" panose="02040503050406030204" charset="0"/>
                        <a:cs typeface="Cambria Math" panose="02040503050406030204" charset="0"/>
                      </a:rPr>
                      <m:t>1</m:t>
                    </m:r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=</m:t>
                    </m:r>
                    <m:sSub>
                      <m:sSubPr>
                        <m:ctrlPr>
                          <a:rPr lang="en-US" altLang="zh-CN" sz="1600" i="1">
                            <a:latin typeface="Cambria Math" panose="02040503050406030204" pitchFamily="18" charset="0"/>
                            <a:cs typeface="Cambria Math" panose="02040503050406030204" charset="0"/>
                          </a:rPr>
                        </m:ctrlPr>
                      </m:sSubPr>
                      <m:e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𝜈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n-US" altLang="zh-CN" sz="1600">
                            <a:latin typeface="Cambria Math" panose="02040503050406030204" charset="0"/>
                            <a:cs typeface="Cambria Math" panose="02040503050406030204" charset="0"/>
                          </a:rPr>
                          <m:t>V</m:t>
                        </m:r>
                        <m:r>
                          <a:rPr lang="en-US" altLang="zh-CN" sz="1600">
                            <a:latin typeface="Cambria Math" panose="02040503050406030204" charset="0"/>
                            <a:cs typeface="Cambria Math" panose="02040503050406030204" charset="0"/>
                          </a:rPr>
                          <m:t>1</m:t>
                        </m:r>
                      </m:sub>
                    </m:sSub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∗</m:t>
                    </m:r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𝐶𝑜𝑢𝑛𝑡</m:t>
                    </m:r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∗</m:t>
                    </m:r>
                    <m:sSup>
                      <m:sSupPr>
                        <m:ctrlPr>
                          <a:rPr lang="en-US" altLang="zh-CN" sz="1600" i="1">
                            <a:latin typeface="Cambria Math" panose="02040503050406030204" pitchFamily="18" charset="0"/>
                            <a:cs typeface="Cambria Math" panose="02040503050406030204" charset="0"/>
                          </a:rPr>
                        </m:ctrlPr>
                      </m:sSupPr>
                      <m:e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2</m:t>
                        </m:r>
                      </m:e>
                      <m:sup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24</m:t>
                        </m:r>
                      </m:sup>
                    </m:sSup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÷</m:t>
                    </m:r>
                    <m:sSub>
                      <m:sSubPr>
                        <m:ctrlPr>
                          <a:rPr lang="en-US" altLang="zh-CN" sz="1600" i="1">
                            <a:latin typeface="Cambria Math" panose="02040503050406030204" pitchFamily="18" charset="0"/>
                            <a:cs typeface="Cambria Math" panose="02040503050406030204" charset="0"/>
                          </a:rPr>
                        </m:ctrlPr>
                      </m:sSubPr>
                      <m:e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𝑓</m:t>
                        </m:r>
                      </m:e>
                      <m:sub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𝑐𝑙𝑘</m:t>
                        </m:r>
                      </m:sub>
                    </m:sSub>
                  </m:oMath>
                </m:oMathPara>
              </a14:m>
              <a:endParaRPr lang="zh-CN" altLang="en-US" sz="1600"/>
            </a:p>
          </xdr:txBody>
        </xdr:sp>
      </mc:Choice>
      <mc:Fallback xmlns:r="http://schemas.openxmlformats.org/officeDocument/2006/relationships" xmlns="">
        <xdr:sp>
          <xdr:nvSpPr>
            <xdr:cNvPr id="19" name="文本框 18"/>
            <xdr:cNvSpPr txBox="1"/>
          </xdr:nvSpPr>
          <xdr:spPr>
            <a:xfrm>
              <a:off x="1612265" y="9435465"/>
              <a:ext cx="2805430" cy="34226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>
              <a:defPPr>
                <a:defRPr lang="zh-CN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V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1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𝜈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V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1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∗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𝐶𝑜𝑢𝑛𝑡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∗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2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24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÷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𝑓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𝑐𝑙𝑘</a:t>
              </a:r>
              <a:endParaRPr lang="zh-CN" altLang="en-US" sz="1600"/>
            </a:p>
          </xdr:txBody>
        </xdr:sp>
      </mc:Fallback>
    </mc:AlternateContent>
    <xdr:clientData/>
  </xdr:oneCellAnchor>
  <xdr:oneCellAnchor>
    <xdr:from>
      <xdr:col>1</xdr:col>
      <xdr:colOff>655955</xdr:colOff>
      <xdr:row>56</xdr:row>
      <xdr:rowOff>81915</xdr:rowOff>
    </xdr:from>
    <xdr:ext cx="3300095" cy="35306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2" name="文本框 21">
              <a:extLst>
                <a:ext uri="{FF2B5EF4-FFF2-40B4-BE49-F238E27FC236}">
                  <a16:creationId xmlns:a16="http://schemas.microsoft.com/office/drawing/2014/main" id="{00000000-0008-0000-0100-000016000000}"/>
                </a:ext>
              </a:extLst>
            </xdr:cNvPr>
            <xdr:cNvSpPr txBox="1"/>
          </xdr:nvSpPr>
          <xdr:spPr>
            <a:xfrm>
              <a:off x="1304925" y="12502515"/>
              <a:ext cx="3300095" cy="35306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>
              <a:defPPr>
                <a:defRPr lang="zh-CN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AMAX</a:t>
              </a:r>
              <a14:m>
                <m:oMath xmlns:m="http://schemas.openxmlformats.org/officeDocument/2006/math">
                  <m:r>
                    <a:rPr lang="en-US" altLang="zh-CN" sz="1600" i="1">
                      <a:latin typeface="Cambria Math" panose="02040503050406030204" charset="0"/>
                      <a:cs typeface="Cambria Math" panose="02040503050406030204" charset="0"/>
                    </a:rPr>
                    <m:t>=</m:t>
                  </m:r>
                  <m:sSub>
                    <m:sSubPr>
                      <m:ctrlPr>
                        <a:rPr lang="en-US" altLang="zh-CN" sz="1600" i="1">
                          <a:latin typeface="Cambria Math" panose="02040503050406030204" pitchFamily="18" charset="0"/>
                          <a:cs typeface="Cambria Math" panose="02040503050406030204" charset="0"/>
                        </a:rPr>
                      </m:ctrlPr>
                    </m:sSubPr>
                    <m:e>
                      <m:r>
                        <a:rPr lang="en-US" altLang="zh-CN" sz="1600" i="1">
                          <a:latin typeface="Cambria Math" panose="02040503050406030204" charset="0"/>
                          <a:cs typeface="Cambria Math" panose="02040503050406030204" charset="0"/>
                        </a:rPr>
                        <m:t>𝑎</m:t>
                      </m:r>
                    </m:e>
                    <m:sub>
                      <m:r>
                        <m:rPr>
                          <m:sty m:val="p"/>
                        </m:rPr>
                        <a:rPr lang="en-US" altLang="zh-CN" sz="1600">
                          <a:latin typeface="Cambria Math" panose="02040503050406030204" charset="0"/>
                          <a:cs typeface="Cambria Math" panose="02040503050406030204" charset="0"/>
                        </a:rPr>
                        <m:t>AMAX</m:t>
                      </m:r>
                    </m:sub>
                  </m:sSub>
                  <m:r>
                    <a:rPr lang="en-US" altLang="zh-CN" sz="1600" i="1">
                      <a:latin typeface="Cambria Math" panose="02040503050406030204" charset="0"/>
                      <a:cs typeface="Cambria Math" panose="02040503050406030204" charset="0"/>
                    </a:rPr>
                    <m:t>÷</m:t>
                  </m:r>
                  <m:sSubSup>
                    <m:sSubSupPr>
                      <m:ctrlPr>
                        <a:rPr lang="en-US" altLang="zh-CN" sz="1600" i="1">
                          <a:latin typeface="Cambria Math" panose="02040503050406030204" pitchFamily="18" charset="0"/>
                          <a:cs typeface="Cambria Math" panose="02040503050406030204" charset="0"/>
                        </a:rPr>
                      </m:ctrlPr>
                    </m:sSubSupPr>
                    <m:e>
                      <m:r>
                        <a:rPr lang="en-US" altLang="zh-CN" sz="1600" i="1">
                          <a:latin typeface="Cambria Math" panose="02040503050406030204" charset="0"/>
                          <a:cs typeface="Cambria Math" panose="02040503050406030204" charset="0"/>
                        </a:rPr>
                        <m:t>𝑓</m:t>
                      </m:r>
                    </m:e>
                    <m:sub>
                      <m:r>
                        <a:rPr lang="en-US" altLang="zh-CN" sz="1600" i="1">
                          <a:latin typeface="Cambria Math" panose="02040503050406030204" charset="0"/>
                          <a:cs typeface="Cambria Math" panose="02040503050406030204" charset="0"/>
                        </a:rPr>
                        <m:t>𝑐𝑙𝑘</m:t>
                      </m:r>
                    </m:sub>
                    <m:sup>
                      <m:r>
                        <a:rPr lang="en-US" altLang="zh-CN" sz="1600" i="1">
                          <a:latin typeface="Cambria Math" panose="02040503050406030204" charset="0"/>
                          <a:cs typeface="Cambria Math" panose="02040503050406030204" charset="0"/>
                        </a:rPr>
                        <m:t>2</m:t>
                      </m:r>
                    </m:sup>
                  </m:sSubSup>
                  <m:r>
                    <a:rPr lang="en-US" altLang="zh-CN" sz="1600" i="1">
                      <a:latin typeface="Cambria Math" panose="02040503050406030204" charset="0"/>
                      <a:cs typeface="Cambria Math" panose="02040503050406030204" charset="0"/>
                    </a:rPr>
                    <m:t>∗</m:t>
                  </m:r>
                  <m:sSup>
                    <m:sSupPr>
                      <m:ctrlPr>
                        <a:rPr lang="en-US" altLang="zh-CN" sz="1600" i="1">
                          <a:latin typeface="Cambria Math" panose="02040503050406030204" pitchFamily="18" charset="0"/>
                          <a:cs typeface="Cambria Math" panose="02040503050406030204" charset="0"/>
                        </a:rPr>
                      </m:ctrlPr>
                    </m:sSupPr>
                    <m:e>
                      <m:r>
                        <a:rPr lang="en-US" altLang="zh-CN" sz="1600" i="1">
                          <a:latin typeface="Cambria Math" panose="02040503050406030204" charset="0"/>
                          <a:cs typeface="Cambria Math" panose="02040503050406030204" charset="0"/>
                        </a:rPr>
                        <m:t>2</m:t>
                      </m:r>
                    </m:e>
                    <m:sup>
                      <m:r>
                        <a:rPr lang="en-US" altLang="zh-CN" sz="1600" i="1">
                          <a:latin typeface="Cambria Math" panose="02040503050406030204" charset="0"/>
                          <a:cs typeface="Cambria Math" panose="02040503050406030204" charset="0"/>
                        </a:rPr>
                        <m:t>41</m:t>
                      </m:r>
                    </m:sup>
                  </m:sSup>
                  <m:r>
                    <a:rPr lang="en-US" altLang="zh-CN" sz="1600" i="1">
                      <a:latin typeface="Cambria Math" panose="02040503050406030204" charset="0"/>
                      <a:cs typeface="Cambria Math" panose="02040503050406030204" charset="0"/>
                    </a:rPr>
                    <m:t>∗</m:t>
                  </m:r>
                  <m:r>
                    <a:rPr lang="en-US" altLang="zh-CN" sz="1600" i="1">
                      <a:latin typeface="Cambria Math" panose="02040503050406030204" charset="0"/>
                      <a:cs typeface="Cambria Math" panose="02040503050406030204" charset="0"/>
                    </a:rPr>
                    <m:t>𝐶𝑜𝑢𝑛𝑡</m:t>
                  </m:r>
                </m:oMath>
              </a14:m>
              <a:endParaRPr lang="en-US" altLang="zh-CN" sz="1600"/>
            </a:p>
          </xdr:txBody>
        </xdr:sp>
      </mc:Choice>
      <mc:Fallback xmlns:r="http://schemas.openxmlformats.org/officeDocument/2006/relationships" xmlns="">
        <xdr:sp>
          <xdr:nvSpPr>
            <xdr:cNvPr id="22" name="文本框 21"/>
            <xdr:cNvSpPr txBox="1"/>
          </xdr:nvSpPr>
          <xdr:spPr>
            <a:xfrm>
              <a:off x="1304925" y="12502515"/>
              <a:ext cx="3300095" cy="35306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>
              <a:defPPr>
                <a:defRPr lang="zh-CN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AMAX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𝑎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AMAX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÷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𝑓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𝑐𝑙𝑘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2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∗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2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41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∗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𝐶𝑜𝑢𝑛𝑡</a:t>
              </a:r>
              <a:endParaRPr lang="en-US" altLang="zh-CN" sz="1600"/>
            </a:p>
          </xdr:txBody>
        </xdr:sp>
      </mc:Fallback>
    </mc:AlternateContent>
    <xdr:clientData/>
  </xdr:oneCellAnchor>
  <xdr:oneCellAnchor>
    <xdr:from>
      <xdr:col>1</xdr:col>
      <xdr:colOff>807085</xdr:colOff>
      <xdr:row>62</xdr:row>
      <xdr:rowOff>88265</xdr:rowOff>
    </xdr:from>
    <xdr:ext cx="3369310" cy="3422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3" name="文本框 22">
              <a:extLst>
                <a:ext uri="{FF2B5EF4-FFF2-40B4-BE49-F238E27FC236}">
                  <a16:creationId xmlns:a16="http://schemas.microsoft.com/office/drawing/2014/main" id="{00000000-0008-0000-0100-000017000000}"/>
                </a:ext>
              </a:extLst>
            </xdr:cNvPr>
            <xdr:cNvSpPr txBox="1"/>
          </xdr:nvSpPr>
          <xdr:spPr>
            <a:xfrm>
              <a:off x="1456055" y="14032865"/>
              <a:ext cx="3369310" cy="34226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>
              <a:defPPr>
                <a:defRPr lang="zh-CN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m:rPr>
                        <m:sty m:val="p"/>
                      </m:rPr>
                      <a:rPr lang="en-US" altLang="zh-CN" sz="1600">
                        <a:latin typeface="Cambria Math" panose="02040503050406030204" charset="0"/>
                        <a:cs typeface="Cambria Math" panose="02040503050406030204" charset="0"/>
                      </a:rPr>
                      <m:t>VMAX</m:t>
                    </m:r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=</m:t>
                    </m:r>
                    <m:sSub>
                      <m:sSubPr>
                        <m:ctrlPr>
                          <a:rPr lang="en-US" altLang="zh-CN" sz="1600" i="1">
                            <a:latin typeface="Cambria Math" panose="02040503050406030204" pitchFamily="18" charset="0"/>
                            <a:cs typeface="Cambria Math" panose="02040503050406030204" charset="0"/>
                          </a:rPr>
                        </m:ctrlPr>
                      </m:sSubPr>
                      <m:e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𝜈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n-US" altLang="zh-CN" sz="1600">
                            <a:latin typeface="Cambria Math" panose="02040503050406030204" charset="0"/>
                            <a:cs typeface="Cambria Math" panose="02040503050406030204" charset="0"/>
                          </a:rPr>
                          <m:t>VMAX</m:t>
                        </m:r>
                      </m:sub>
                    </m:sSub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∗</m:t>
                    </m:r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𝐶𝑜𝑢𝑛𝑡</m:t>
                    </m:r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∗</m:t>
                    </m:r>
                    <m:sSup>
                      <m:sSupPr>
                        <m:ctrlPr>
                          <a:rPr lang="en-US" altLang="zh-CN" sz="1600" i="1">
                            <a:latin typeface="Cambria Math" panose="02040503050406030204" pitchFamily="18" charset="0"/>
                            <a:cs typeface="Cambria Math" panose="02040503050406030204" charset="0"/>
                          </a:rPr>
                        </m:ctrlPr>
                      </m:sSupPr>
                      <m:e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2</m:t>
                        </m:r>
                      </m:e>
                      <m:sup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24</m:t>
                        </m:r>
                      </m:sup>
                    </m:sSup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÷</m:t>
                    </m:r>
                    <m:sSub>
                      <m:sSubPr>
                        <m:ctrlPr>
                          <a:rPr lang="en-US" altLang="zh-CN" sz="1600" i="1">
                            <a:latin typeface="Cambria Math" panose="02040503050406030204" pitchFamily="18" charset="0"/>
                            <a:cs typeface="Cambria Math" panose="02040503050406030204" charset="0"/>
                          </a:rPr>
                        </m:ctrlPr>
                      </m:sSubPr>
                      <m:e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𝑓</m:t>
                        </m:r>
                      </m:e>
                      <m:sub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𝑐𝑙𝑘</m:t>
                        </m:r>
                      </m:sub>
                    </m:sSub>
                  </m:oMath>
                </m:oMathPara>
              </a14:m>
              <a:endParaRPr lang="zh-CN" altLang="en-US" sz="1600"/>
            </a:p>
          </xdr:txBody>
        </xdr:sp>
      </mc:Choice>
      <mc:Fallback xmlns:r="http://schemas.openxmlformats.org/officeDocument/2006/relationships" xmlns="">
        <xdr:sp>
          <xdr:nvSpPr>
            <xdr:cNvPr id="23" name="文本框 22"/>
            <xdr:cNvSpPr txBox="1"/>
          </xdr:nvSpPr>
          <xdr:spPr>
            <a:xfrm>
              <a:off x="1456055" y="14032865"/>
              <a:ext cx="3369310" cy="34226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>
              <a:defPPr>
                <a:defRPr lang="zh-CN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VMAX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𝜈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VMAX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∗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𝐶𝑜𝑢𝑛𝑡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∗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2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24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÷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𝑓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𝑐𝑙𝑘</a:t>
              </a:r>
              <a:endParaRPr lang="zh-CN" altLang="en-US" sz="1600"/>
            </a:p>
          </xdr:txBody>
        </xdr:sp>
      </mc:Fallback>
    </mc:AlternateContent>
    <xdr:clientData/>
  </xdr:oneCellAnchor>
  <xdr:oneCellAnchor>
    <xdr:from>
      <xdr:col>1</xdr:col>
      <xdr:colOff>762000</xdr:colOff>
      <xdr:row>84</xdr:row>
      <xdr:rowOff>81280</xdr:rowOff>
    </xdr:from>
    <xdr:ext cx="3587115" cy="3422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4" name="文本框 23">
              <a:extLst>
                <a:ext uri="{FF2B5EF4-FFF2-40B4-BE49-F238E27FC236}">
                  <a16:creationId xmlns:a16="http://schemas.microsoft.com/office/drawing/2014/main" id="{00000000-0008-0000-0100-000018000000}"/>
                </a:ext>
              </a:extLst>
            </xdr:cNvPr>
            <xdr:cNvSpPr txBox="1"/>
          </xdr:nvSpPr>
          <xdr:spPr>
            <a:xfrm>
              <a:off x="1410970" y="19613880"/>
              <a:ext cx="3587115" cy="34226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>
              <a:defPPr>
                <a:defRPr lang="zh-CN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en-US" altLang="zh-CN" sz="1600" i="1">
                            <a:latin typeface="Cambria Math" panose="02040503050406030204" pitchFamily="18" charset="0"/>
                            <a:cs typeface="Cambria Math" panose="02040503050406030204" charset="0"/>
                          </a:rPr>
                        </m:ctrlPr>
                      </m:sSubPr>
                      <m:e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𝜈</m:t>
                        </m:r>
                      </m:e>
                      <m:sub>
                        <m:r>
                          <m:rPr>
                            <m:sty m:val="p"/>
                          </m:rPr>
                          <a:rPr lang="en-US" altLang="zh-CN" sz="1600">
                            <a:latin typeface="Cambria Math" panose="02040503050406030204" charset="0"/>
                            <a:cs typeface="Cambria Math" panose="02040503050406030204" charset="0"/>
                          </a:rPr>
                          <m:t>VSTOP</m:t>
                        </m:r>
                      </m:sub>
                    </m:sSub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=</m:t>
                    </m:r>
                    <m:r>
                      <m:rPr>
                        <m:sty m:val="p"/>
                      </m:rPr>
                      <a:rPr lang="en-US" altLang="zh-CN" sz="1600">
                        <a:latin typeface="Cambria Math" panose="02040503050406030204" charset="0"/>
                        <a:cs typeface="Cambria Math" panose="02040503050406030204" charset="0"/>
                      </a:rPr>
                      <m:t>VSTOP</m:t>
                    </m:r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∗</m:t>
                    </m:r>
                    <m:sSub>
                      <m:sSubPr>
                        <m:ctrlPr>
                          <a:rPr lang="en-US" altLang="zh-CN" sz="1600" i="1">
                            <a:latin typeface="Cambria Math" panose="02040503050406030204" pitchFamily="18" charset="0"/>
                            <a:cs typeface="Cambria Math" panose="02040503050406030204" charset="0"/>
                          </a:rPr>
                        </m:ctrlPr>
                      </m:sSubPr>
                      <m:e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𝑓</m:t>
                        </m:r>
                      </m:e>
                      <m:sub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𝑐𝑙𝑘</m:t>
                        </m:r>
                      </m:sub>
                    </m:sSub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÷</m:t>
                    </m:r>
                    <m:sSup>
                      <m:sSupPr>
                        <m:ctrlPr>
                          <a:rPr lang="en-US" altLang="zh-CN" sz="1600" i="1">
                            <a:latin typeface="Cambria Math" panose="02040503050406030204" pitchFamily="18" charset="0"/>
                            <a:cs typeface="Cambria Math" panose="02040503050406030204" charset="0"/>
                          </a:rPr>
                        </m:ctrlPr>
                      </m:sSupPr>
                      <m:e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2</m:t>
                        </m:r>
                      </m:e>
                      <m:sup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24</m:t>
                        </m:r>
                      </m:sup>
                    </m:sSup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÷</m:t>
                    </m:r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𝐶𝑜𝑢𝑛𝑡</m:t>
                    </m:r>
                  </m:oMath>
                </m:oMathPara>
              </a14:m>
              <a:endParaRPr lang="zh-CN" altLang="en-US" sz="1600"/>
            </a:p>
          </xdr:txBody>
        </xdr:sp>
      </mc:Choice>
      <mc:Fallback xmlns:r="http://schemas.openxmlformats.org/officeDocument/2006/relationships" xmlns="">
        <xdr:sp>
          <xdr:nvSpPr>
            <xdr:cNvPr id="24" name="文本框 23"/>
            <xdr:cNvSpPr txBox="1"/>
          </xdr:nvSpPr>
          <xdr:spPr>
            <a:xfrm>
              <a:off x="1410970" y="19613880"/>
              <a:ext cx="3587115" cy="34226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>
              <a:defPPr>
                <a:defRPr lang="zh-CN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𝜈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VSTOP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VSTOP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∗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𝑓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𝑐𝑙𝑘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÷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2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24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÷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𝐶𝑜𝑢𝑛𝑡</a:t>
              </a:r>
              <a:endParaRPr lang="zh-CN" altLang="en-US" sz="1600"/>
            </a:p>
          </xdr:txBody>
        </xdr:sp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147320</xdr:colOff>
      <xdr:row>22</xdr:row>
      <xdr:rowOff>233045</xdr:rowOff>
    </xdr:from>
    <xdr:ext cx="2392045" cy="60452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文本框 1">
              <a:extLst>
                <a:ext uri="{FF2B5EF4-FFF2-40B4-BE49-F238E27FC236}">
                  <a16:creationId xmlns:a16="http://schemas.microsoft.com/office/drawing/2014/main" id="{00000000-0008-0000-0200-000002000000}"/>
                </a:ext>
              </a:extLst>
            </xdr:cNvPr>
            <xdr:cNvSpPr txBox="1"/>
          </xdr:nvSpPr>
          <xdr:spPr>
            <a:xfrm>
              <a:off x="2311400" y="8310245"/>
              <a:ext cx="2392045" cy="60452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>
              <a:defPPr>
                <a:defRPr lang="zh-CN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1800" i="1">
                        <a:latin typeface="Cambria Math" panose="02040503050406030204" charset="0"/>
                        <a:cs typeface="Cambria Math" panose="02040503050406030204" charset="0"/>
                      </a:rPr>
                      <m:t>𝑆</m:t>
                    </m:r>
                    <m:r>
                      <a:rPr lang="en-US" altLang="zh-CN" sz="1800" i="1">
                        <a:latin typeface="Cambria Math" panose="02040503050406030204" charset="0"/>
                        <a:cs typeface="Cambria Math" panose="02040503050406030204" charset="0"/>
                      </a:rPr>
                      <m:t>=</m:t>
                    </m:r>
                    <m:sSub>
                      <m:sSubPr>
                        <m:ctrlPr>
                          <a:rPr lang="en-US" altLang="zh-CN" sz="1800" i="1">
                            <a:latin typeface="Cambria Math" panose="02040503050406030204" pitchFamily="18" charset="0"/>
                            <a:cs typeface="Cambria Math" panose="02040503050406030204" charset="0"/>
                          </a:rPr>
                        </m:ctrlPr>
                      </m:sSubPr>
                      <m:e>
                        <m:r>
                          <a:rPr lang="en-US" altLang="zh-CN" sz="18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𝑉</m:t>
                        </m:r>
                      </m:e>
                      <m:sub>
                        <m:r>
                          <a:rPr lang="en-US" altLang="zh-CN" sz="18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𝑉𝑆𝑇𝐴𝑅𝑇</m:t>
                        </m:r>
                      </m:sub>
                    </m:sSub>
                    <m:r>
                      <a:rPr lang="en-US" altLang="zh-CN" sz="1800" i="1">
                        <a:latin typeface="Cambria Math" panose="02040503050406030204" charset="0"/>
                        <a:cs typeface="Cambria Math" panose="02040503050406030204" charset="0"/>
                      </a:rPr>
                      <m:t> </m:t>
                    </m:r>
                    <m:r>
                      <a:rPr lang="en-US" altLang="zh-CN" sz="1800" i="1">
                        <a:latin typeface="Cambria Math" panose="02040503050406030204" charset="0"/>
                        <a:cs typeface="Cambria Math" panose="02040503050406030204" charset="0"/>
                      </a:rPr>
                      <m:t>𝑡</m:t>
                    </m:r>
                    <m:r>
                      <a:rPr lang="en-US" altLang="zh-CN" sz="1800" i="1">
                        <a:latin typeface="Cambria Math" panose="02040503050406030204" charset="0"/>
                        <a:cs typeface="Cambria Math" panose="02040503050406030204" charset="0"/>
                      </a:rPr>
                      <m:t>+</m:t>
                    </m:r>
                    <m:f>
                      <m:fPr>
                        <m:ctrlPr>
                          <a:rPr lang="en-US" altLang="zh-CN" sz="1800" i="1">
                            <a:latin typeface="Cambria Math" panose="02040503050406030204" pitchFamily="18" charset="0"/>
                            <a:cs typeface="Cambria Math" panose="02040503050406030204" charset="0"/>
                          </a:rPr>
                        </m:ctrlPr>
                      </m:fPr>
                      <m:num>
                        <m:r>
                          <a:rPr lang="en-US" altLang="zh-CN" sz="18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1</m:t>
                        </m:r>
                      </m:num>
                      <m:den>
                        <m:r>
                          <a:rPr lang="en-US" altLang="zh-CN" sz="18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2</m:t>
                        </m:r>
                      </m:den>
                    </m:f>
                    <m:r>
                      <a:rPr lang="en-US" altLang="zh-CN" sz="1800" i="1">
                        <a:latin typeface="Cambria Math" panose="02040503050406030204" charset="0"/>
                        <a:cs typeface="Cambria Math" panose="02040503050406030204" charset="0"/>
                      </a:rPr>
                      <m:t>𝑎</m:t>
                    </m:r>
                    <m:sSup>
                      <m:sSupPr>
                        <m:ctrlPr>
                          <a:rPr lang="en-US" altLang="zh-CN" sz="1800" i="1">
                            <a:latin typeface="Cambria Math" panose="02040503050406030204" pitchFamily="18" charset="0"/>
                            <a:cs typeface="Cambria Math" panose="02040503050406030204" charset="0"/>
                          </a:rPr>
                        </m:ctrlPr>
                      </m:sSupPr>
                      <m:e>
                        <m:r>
                          <a:rPr lang="en-US" altLang="zh-CN" sz="18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𝑡</m:t>
                        </m:r>
                      </m:e>
                      <m:sup>
                        <m:r>
                          <a:rPr lang="en-US" altLang="zh-CN" sz="18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US" altLang="zh-CN" sz="18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Choice>
      <mc:Fallback xmlns:r="http://schemas.openxmlformats.org/officeDocument/2006/relationships" xmlns="">
        <xdr:sp>
          <xdr:nvSpPr>
            <xdr:cNvPr id="2" name="文本框 1"/>
            <xdr:cNvSpPr txBox="1"/>
          </xdr:nvSpPr>
          <xdr:spPr>
            <a:xfrm>
              <a:off x="2311400" y="8310245"/>
              <a:ext cx="2392045" cy="60452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>
              <a:defPPr>
                <a:defRPr lang="zh-CN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r>
                <a:rPr lang="en-US" altLang="zh-CN" sz="1800">
                  <a:latin typeface="Cambria Math" panose="02040503050406030204" charset="0"/>
                  <a:cs typeface="Cambria Math" panose="02040503050406030204" charset="0"/>
                </a:rPr>
                <a:t>𝑆</a:t>
              </a:r>
              <a:r>
                <a:rPr lang="en-US" altLang="zh-CN" sz="18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1800">
                  <a:latin typeface="Cambria Math" panose="02040503050406030204" charset="0"/>
                  <a:cs typeface="Cambria Math" panose="02040503050406030204" charset="0"/>
                </a:rPr>
                <a:t>𝑉</a:t>
              </a:r>
              <a:r>
                <a:rPr lang="en-US" altLang="zh-CN" sz="18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1800">
                  <a:latin typeface="Cambria Math" panose="02040503050406030204" charset="0"/>
                  <a:cs typeface="Cambria Math" panose="02040503050406030204" charset="0"/>
                </a:rPr>
                <a:t>𝑉𝑆𝑇𝐴𝑅𝑇</a:t>
              </a:r>
              <a:r>
                <a:rPr lang="en-US" altLang="zh-CN" sz="1800">
                  <a:latin typeface="Cambria Math" panose="02040503050406030204" charset="0"/>
                  <a:cs typeface="Cambria Math" panose="02040503050406030204" charset="0"/>
                </a:rPr>
                <a:t> </a:t>
              </a:r>
              <a:r>
                <a:rPr lang="en-US" altLang="zh-CN" sz="1800">
                  <a:latin typeface="Cambria Math" panose="02040503050406030204" charset="0"/>
                  <a:cs typeface="Cambria Math" panose="02040503050406030204" charset="0"/>
                </a:rPr>
                <a:t>𝑡</a:t>
              </a:r>
              <a:r>
                <a:rPr lang="en-US" altLang="zh-CN" sz="1800">
                  <a:latin typeface="Cambria Math" panose="02040503050406030204" charset="0"/>
                  <a:cs typeface="Cambria Math" panose="02040503050406030204" charset="0"/>
                </a:rPr>
                <a:t>+</a:t>
              </a:r>
              <a:r>
                <a:rPr lang="en-US" altLang="zh-CN" sz="1800">
                  <a:latin typeface="Cambria Math" panose="02040503050406030204" charset="0"/>
                  <a:cs typeface="Cambria Math" panose="02040503050406030204" charset="0"/>
                </a:rPr>
                <a:t>1</a:t>
              </a:r>
              <a:r>
                <a:rPr lang="en-US" altLang="zh-CN" sz="1800">
                  <a:latin typeface="Cambria Math" panose="02040503050406030204" charset="0"/>
                  <a:cs typeface="Cambria Math" panose="02040503050406030204" charset="0"/>
                </a:rPr>
                <a:t>/</a:t>
              </a:r>
              <a:r>
                <a:rPr lang="en-US" altLang="zh-CN" sz="1800">
                  <a:latin typeface="Cambria Math" panose="02040503050406030204" charset="0"/>
                  <a:cs typeface="Cambria Math" panose="02040503050406030204" charset="0"/>
                </a:rPr>
                <a:t>2</a:t>
              </a:r>
              <a:r>
                <a:rPr lang="en-US" altLang="zh-CN" sz="1800">
                  <a:latin typeface="Cambria Math" panose="02040503050406030204" charset="0"/>
                  <a:cs typeface="Cambria Math" panose="02040503050406030204" charset="0"/>
                </a:rPr>
                <a:t>𝑎</a:t>
              </a:r>
              <a:r>
                <a:rPr lang="en-US" altLang="zh-CN" sz="1800">
                  <a:latin typeface="Cambria Math" panose="02040503050406030204" charset="0"/>
                  <a:cs typeface="Cambria Math" panose="02040503050406030204" charset="0"/>
                </a:rPr>
                <a:t>𝑡</a:t>
              </a:r>
              <a:r>
                <a:rPr lang="en-US" altLang="zh-CN" sz="18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1800">
                  <a:latin typeface="Cambria Math" panose="02040503050406030204" charset="0"/>
                  <a:cs typeface="Cambria Math" panose="02040503050406030204" charset="0"/>
                </a:rPr>
                <a:t>2</a:t>
              </a:r>
              <a:endParaRPr lang="en-US" altLang="zh-CN" sz="18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Fallback>
    </mc:AlternateContent>
    <xdr:clientData/>
  </xdr:oneCellAnchor>
  <xdr:oneCellAnchor>
    <xdr:from>
      <xdr:col>2</xdr:col>
      <xdr:colOff>71120</xdr:colOff>
      <xdr:row>26</xdr:row>
      <xdr:rowOff>71120</xdr:rowOff>
    </xdr:from>
    <xdr:ext cx="1885950" cy="37211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文本框 3">
              <a:extLst>
                <a:ext uri="{FF2B5EF4-FFF2-40B4-BE49-F238E27FC236}">
                  <a16:creationId xmlns:a16="http://schemas.microsoft.com/office/drawing/2014/main" id="{00000000-0008-0000-0200-000004000000}"/>
                </a:ext>
              </a:extLst>
            </xdr:cNvPr>
            <xdr:cNvSpPr txBox="1"/>
          </xdr:nvSpPr>
          <xdr:spPr>
            <a:xfrm>
              <a:off x="2235200" y="9215120"/>
              <a:ext cx="1885950" cy="37211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>
              <a:defPPr>
                <a:defRPr lang="zh-CN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1800" i="1">
                        <a:latin typeface="Cambria Math" panose="02040503050406030204" charset="0"/>
                        <a:cs typeface="Cambria Math" panose="02040503050406030204" charset="0"/>
                      </a:rPr>
                      <m:t>𝑉</m:t>
                    </m:r>
                    <m:r>
                      <a:rPr lang="en-US" altLang="zh-CN" sz="1800" i="1">
                        <a:latin typeface="Cambria Math" panose="02040503050406030204" charset="0"/>
                        <a:cs typeface="Cambria Math" panose="02040503050406030204" charset="0"/>
                      </a:rPr>
                      <m:t>=</m:t>
                    </m:r>
                    <m:sSub>
                      <m:sSubPr>
                        <m:ctrlPr>
                          <a:rPr lang="en-US" altLang="zh-CN" sz="1800" i="1">
                            <a:latin typeface="Cambria Math" panose="02040503050406030204" pitchFamily="18" charset="0"/>
                            <a:cs typeface="Cambria Math" panose="02040503050406030204" charset="0"/>
                          </a:rPr>
                        </m:ctrlPr>
                      </m:sSubPr>
                      <m:e>
                        <m:r>
                          <a:rPr lang="en-US" altLang="zh-CN" sz="18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𝑉</m:t>
                        </m:r>
                      </m:e>
                      <m:sub>
                        <m:r>
                          <a:rPr lang="en-US" altLang="zh-CN" sz="18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𝑉𝑆𝑇𝐴𝑅𝑇</m:t>
                        </m:r>
                      </m:sub>
                    </m:sSub>
                    <m:r>
                      <a:rPr lang="en-US" altLang="zh-CN" sz="1800" i="1">
                        <a:latin typeface="Cambria Math" panose="02040503050406030204" charset="0"/>
                        <a:cs typeface="Cambria Math" panose="02040503050406030204" charset="0"/>
                      </a:rPr>
                      <m:t>+</m:t>
                    </m:r>
                    <m:r>
                      <a:rPr lang="en-US" altLang="zh-CN" sz="1800" i="1">
                        <a:latin typeface="Cambria Math" panose="02040503050406030204" charset="0"/>
                        <a:cs typeface="Cambria Math" panose="02040503050406030204" charset="0"/>
                      </a:rPr>
                      <m:t>𝑎𝑡</m:t>
                    </m:r>
                  </m:oMath>
                </m:oMathPara>
              </a14:m>
              <a:endParaRPr lang="en-US" altLang="zh-CN" sz="18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Choice>
      <mc:Fallback xmlns:r="http://schemas.openxmlformats.org/officeDocument/2006/relationships" xmlns="">
        <xdr:sp>
          <xdr:nvSpPr>
            <xdr:cNvPr id="4" name="文本框 3"/>
            <xdr:cNvSpPr txBox="1"/>
          </xdr:nvSpPr>
          <xdr:spPr>
            <a:xfrm>
              <a:off x="2235200" y="9215120"/>
              <a:ext cx="1885950" cy="37211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>
              <a:defPPr>
                <a:defRPr lang="zh-CN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r>
                <a:rPr lang="en-US" altLang="zh-CN" sz="1800">
                  <a:latin typeface="Cambria Math" panose="02040503050406030204" charset="0"/>
                  <a:cs typeface="Cambria Math" panose="02040503050406030204" charset="0"/>
                </a:rPr>
                <a:t>𝑉</a:t>
              </a:r>
              <a:r>
                <a:rPr lang="en-US" altLang="zh-CN" sz="18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1800">
                  <a:latin typeface="Cambria Math" panose="02040503050406030204" charset="0"/>
                  <a:cs typeface="Cambria Math" panose="02040503050406030204" charset="0"/>
                </a:rPr>
                <a:t>𝑉</a:t>
              </a:r>
              <a:r>
                <a:rPr lang="en-US" altLang="zh-CN" sz="18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1800">
                  <a:latin typeface="Cambria Math" panose="02040503050406030204" charset="0"/>
                  <a:cs typeface="Cambria Math" panose="02040503050406030204" charset="0"/>
                </a:rPr>
                <a:t>𝑉𝑆𝑇𝐴𝑅𝑇</a:t>
              </a:r>
              <a:r>
                <a:rPr lang="en-US" altLang="zh-CN" sz="1800">
                  <a:latin typeface="Cambria Math" panose="02040503050406030204" charset="0"/>
                  <a:cs typeface="Cambria Math" panose="02040503050406030204" charset="0"/>
                </a:rPr>
                <a:t>+</a:t>
              </a:r>
              <a:r>
                <a:rPr lang="en-US" altLang="zh-CN" sz="1800">
                  <a:latin typeface="Cambria Math" panose="02040503050406030204" charset="0"/>
                  <a:cs typeface="Cambria Math" panose="02040503050406030204" charset="0"/>
                </a:rPr>
                <a:t>𝑎𝑡</a:t>
              </a:r>
              <a:endParaRPr lang="en-US" altLang="zh-CN" sz="18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Fallback>
    </mc:AlternateContent>
    <xdr:clientData/>
  </xdr:oneCellAnchor>
  <xdr:oneCellAnchor>
    <xdr:from>
      <xdr:col>2</xdr:col>
      <xdr:colOff>128270</xdr:colOff>
      <xdr:row>32</xdr:row>
      <xdr:rowOff>61595</xdr:rowOff>
    </xdr:from>
    <xdr:ext cx="1369695" cy="37211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文本框 6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SpPr txBox="1"/>
          </xdr:nvSpPr>
          <xdr:spPr>
            <a:xfrm>
              <a:off x="2292350" y="10805795"/>
              <a:ext cx="1369695" cy="37211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>
              <a:defPPr>
                <a:defRPr lang="zh-CN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1800" i="1">
                        <a:latin typeface="Cambria Math" panose="02040503050406030204" charset="0"/>
                        <a:cs typeface="Cambria Math" panose="02040503050406030204" charset="0"/>
                      </a:rPr>
                      <m:t>𝑆</m:t>
                    </m:r>
                    <m:r>
                      <a:rPr lang="en-US" altLang="zh-CN" sz="1800" i="1">
                        <a:latin typeface="Cambria Math" panose="02040503050406030204" charset="0"/>
                        <a:cs typeface="Cambria Math" panose="02040503050406030204" charset="0"/>
                      </a:rPr>
                      <m:t>=</m:t>
                    </m:r>
                    <m:sSub>
                      <m:sSubPr>
                        <m:ctrlPr>
                          <a:rPr lang="en-US" altLang="zh-CN" sz="1800" i="1">
                            <a:latin typeface="Cambria Math" panose="02040503050406030204" pitchFamily="18" charset="0"/>
                            <a:cs typeface="Cambria Math" panose="02040503050406030204" charset="0"/>
                          </a:rPr>
                        </m:ctrlPr>
                      </m:sSubPr>
                      <m:e>
                        <m:r>
                          <a:rPr lang="en-US" altLang="zh-CN" sz="18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𝑉</m:t>
                        </m:r>
                      </m:e>
                      <m:sub>
                        <m:r>
                          <a:rPr lang="en-US" altLang="zh-CN" sz="18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𝑉𝑀𝐴𝑋</m:t>
                        </m:r>
                      </m:sub>
                    </m:sSub>
                    <m:r>
                      <a:rPr lang="en-US" altLang="zh-CN" sz="1800" i="1">
                        <a:latin typeface="Cambria Math" panose="02040503050406030204" charset="0"/>
                        <a:cs typeface="Cambria Math" panose="02040503050406030204" charset="0"/>
                      </a:rPr>
                      <m:t> </m:t>
                    </m:r>
                    <m:r>
                      <a:rPr lang="en-US" altLang="zh-CN" sz="1800" i="1">
                        <a:latin typeface="Cambria Math" panose="02040503050406030204" charset="0"/>
                        <a:cs typeface="Cambria Math" panose="02040503050406030204" charset="0"/>
                      </a:rPr>
                      <m:t>𝑡</m:t>
                    </m:r>
                  </m:oMath>
                </m:oMathPara>
              </a14:m>
              <a:endParaRPr lang="en-US" altLang="zh-CN" sz="18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Choice>
      <mc:Fallback xmlns:r="http://schemas.openxmlformats.org/officeDocument/2006/relationships" xmlns="">
        <xdr:sp>
          <xdr:nvSpPr>
            <xdr:cNvPr id="7" name="文本框 6"/>
            <xdr:cNvSpPr txBox="1"/>
          </xdr:nvSpPr>
          <xdr:spPr>
            <a:xfrm>
              <a:off x="2292350" y="10805795"/>
              <a:ext cx="1369695" cy="372110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>
              <a:defPPr>
                <a:defRPr lang="zh-CN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r>
                <a:rPr lang="en-US" altLang="zh-CN" sz="1800">
                  <a:latin typeface="Cambria Math" panose="02040503050406030204" charset="0"/>
                  <a:cs typeface="Cambria Math" panose="02040503050406030204" charset="0"/>
                </a:rPr>
                <a:t>𝑆</a:t>
              </a:r>
              <a:r>
                <a:rPr lang="en-US" altLang="zh-CN" sz="18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1800">
                  <a:latin typeface="Cambria Math" panose="02040503050406030204" charset="0"/>
                  <a:cs typeface="Cambria Math" panose="02040503050406030204" charset="0"/>
                </a:rPr>
                <a:t>𝑉</a:t>
              </a:r>
              <a:r>
                <a:rPr lang="en-US" altLang="zh-CN" sz="18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1800">
                  <a:latin typeface="Cambria Math" panose="02040503050406030204" charset="0"/>
                  <a:cs typeface="Cambria Math" panose="02040503050406030204" charset="0"/>
                </a:rPr>
                <a:t>𝑉𝑀𝐴𝑋</a:t>
              </a:r>
              <a:r>
                <a:rPr lang="en-US" altLang="zh-CN" sz="1800">
                  <a:latin typeface="Cambria Math" panose="02040503050406030204" charset="0"/>
                  <a:cs typeface="Cambria Math" panose="02040503050406030204" charset="0"/>
                </a:rPr>
                <a:t> </a:t>
              </a:r>
              <a:r>
                <a:rPr lang="en-US" altLang="zh-CN" sz="1800">
                  <a:latin typeface="Cambria Math" panose="02040503050406030204" charset="0"/>
                  <a:cs typeface="Cambria Math" panose="02040503050406030204" charset="0"/>
                </a:rPr>
                <a:t>𝑡</a:t>
              </a:r>
              <a:endParaRPr lang="en-US" altLang="zh-CN" sz="18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Fallback>
    </mc:AlternateContent>
    <xdr:clientData/>
  </xdr:oneCellAnchor>
  <xdr:oneCellAnchor>
    <xdr:from>
      <xdr:col>2</xdr:col>
      <xdr:colOff>123825</xdr:colOff>
      <xdr:row>39</xdr:row>
      <xdr:rowOff>57150</xdr:rowOff>
    </xdr:from>
    <xdr:ext cx="1684655" cy="3676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9" name="文本框 8">
              <a:extLst>
                <a:ext uri="{FF2B5EF4-FFF2-40B4-BE49-F238E27FC236}">
                  <a16:creationId xmlns:a16="http://schemas.microsoft.com/office/drawing/2014/main" id="{00000000-0008-0000-0200-000009000000}"/>
                </a:ext>
              </a:extLst>
            </xdr:cNvPr>
            <xdr:cNvSpPr txBox="1"/>
          </xdr:nvSpPr>
          <xdr:spPr>
            <a:xfrm>
              <a:off x="2287905" y="12668250"/>
              <a:ext cx="1684655" cy="36766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>
              <a:defPPr>
                <a:defRPr lang="zh-CN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Sup>
                      <m:sSubSupPr>
                        <m:ctrlPr>
                          <a:rPr lang="en-US" altLang="zh-CN" sz="1800" i="1">
                            <a:latin typeface="Cambria Math" panose="02040503050406030204" pitchFamily="18" charset="0"/>
                            <a:cs typeface="Cambria Math" panose="02040503050406030204" charset="0"/>
                          </a:rPr>
                        </m:ctrlPr>
                      </m:sSubSupPr>
                      <m:e>
                        <m:r>
                          <a:rPr lang="en-US" altLang="zh-CN" sz="18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𝑉</m:t>
                        </m:r>
                      </m:e>
                      <m:sub>
                        <m:r>
                          <a:rPr lang="en-US" altLang="zh-CN" sz="18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𝑡</m:t>
                        </m:r>
                      </m:sub>
                      <m:sup>
                        <m:r>
                          <a:rPr lang="en-US" altLang="zh-CN" sz="18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2</m:t>
                        </m:r>
                      </m:sup>
                    </m:sSubSup>
                    <m:r>
                      <a:rPr lang="en-US" altLang="zh-CN" sz="1800" i="1">
                        <a:latin typeface="Cambria Math" panose="02040503050406030204" charset="0"/>
                        <a:cs typeface="Cambria Math" panose="02040503050406030204" charset="0"/>
                      </a:rPr>
                      <m:t>−</m:t>
                    </m:r>
                    <m:sSubSup>
                      <m:sSubSupPr>
                        <m:ctrlPr>
                          <a:rPr lang="en-US" altLang="zh-CN" sz="1800" i="1">
                            <a:latin typeface="Cambria Math" panose="02040503050406030204" pitchFamily="18" charset="0"/>
                            <a:cs typeface="Cambria Math" panose="02040503050406030204" charset="0"/>
                          </a:rPr>
                        </m:ctrlPr>
                      </m:sSubSupPr>
                      <m:e>
                        <m:r>
                          <a:rPr lang="en-US" altLang="zh-CN" sz="18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𝑉</m:t>
                        </m:r>
                      </m:e>
                      <m:sub>
                        <m:r>
                          <a:rPr lang="en-US" altLang="zh-CN" sz="18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0</m:t>
                        </m:r>
                      </m:sub>
                      <m:sup>
                        <m:r>
                          <a:rPr lang="en-US" altLang="zh-CN" sz="18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2</m:t>
                        </m:r>
                      </m:sup>
                    </m:sSubSup>
                    <m:r>
                      <a:rPr lang="en-US" altLang="zh-CN" sz="1800" i="1">
                        <a:latin typeface="Cambria Math" panose="02040503050406030204" charset="0"/>
                        <a:cs typeface="Cambria Math" panose="02040503050406030204" charset="0"/>
                      </a:rPr>
                      <m:t>=2</m:t>
                    </m:r>
                    <m:r>
                      <a:rPr lang="en-US" altLang="zh-CN" sz="1800" i="1">
                        <a:latin typeface="Cambria Math" panose="02040503050406030204" charset="0"/>
                        <a:cs typeface="Cambria Math" panose="02040503050406030204" charset="0"/>
                      </a:rPr>
                      <m:t>𝑎𝑠</m:t>
                    </m:r>
                  </m:oMath>
                </m:oMathPara>
              </a14:m>
              <a:endParaRPr lang="en-US" altLang="zh-CN" sz="18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Choice>
      <mc:Fallback xmlns:r="http://schemas.openxmlformats.org/officeDocument/2006/relationships" xmlns="">
        <xdr:sp>
          <xdr:nvSpPr>
            <xdr:cNvPr id="9" name="文本框 8"/>
            <xdr:cNvSpPr txBox="1"/>
          </xdr:nvSpPr>
          <xdr:spPr>
            <a:xfrm>
              <a:off x="2287905" y="12668250"/>
              <a:ext cx="1684655" cy="36766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>
              <a:defPPr>
                <a:defRPr lang="zh-CN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r>
                <a:rPr lang="en-US" altLang="zh-CN" sz="1800">
                  <a:latin typeface="Cambria Math" panose="02040503050406030204" charset="0"/>
                  <a:cs typeface="Cambria Math" panose="02040503050406030204" charset="0"/>
                </a:rPr>
                <a:t>𝑉</a:t>
              </a:r>
              <a:r>
                <a:rPr lang="en-US" altLang="zh-CN" sz="18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1800">
                  <a:latin typeface="Cambria Math" panose="02040503050406030204" charset="0"/>
                  <a:cs typeface="Cambria Math" panose="02040503050406030204" charset="0"/>
                </a:rPr>
                <a:t>𝑡</a:t>
              </a:r>
              <a:r>
                <a:rPr lang="en-US" altLang="zh-CN" sz="18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1800">
                  <a:latin typeface="Cambria Math" panose="02040503050406030204" charset="0"/>
                  <a:cs typeface="Cambria Math" panose="02040503050406030204" charset="0"/>
                </a:rPr>
                <a:t>2</a:t>
              </a:r>
              <a:r>
                <a:rPr lang="en-US" altLang="zh-CN" sz="1800">
                  <a:latin typeface="Cambria Math" panose="02040503050406030204" charset="0"/>
                  <a:cs typeface="Cambria Math" panose="02040503050406030204" charset="0"/>
                </a:rPr>
                <a:t>−</a:t>
              </a:r>
              <a:r>
                <a:rPr lang="en-US" altLang="zh-CN" sz="1800">
                  <a:latin typeface="Cambria Math" panose="02040503050406030204" charset="0"/>
                  <a:cs typeface="Cambria Math" panose="02040503050406030204" charset="0"/>
                </a:rPr>
                <a:t>𝑉</a:t>
              </a:r>
              <a:r>
                <a:rPr lang="en-US" altLang="zh-CN" sz="18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1800">
                  <a:latin typeface="Cambria Math" panose="02040503050406030204" charset="0"/>
                  <a:cs typeface="Cambria Math" panose="02040503050406030204" charset="0"/>
                </a:rPr>
                <a:t>0</a:t>
              </a:r>
              <a:r>
                <a:rPr lang="en-US" altLang="zh-CN" sz="18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1800">
                  <a:latin typeface="Cambria Math" panose="02040503050406030204" charset="0"/>
                  <a:cs typeface="Cambria Math" panose="02040503050406030204" charset="0"/>
                </a:rPr>
                <a:t>2</a:t>
              </a:r>
              <a:r>
                <a:rPr lang="en-US" altLang="zh-CN" sz="18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1800">
                  <a:latin typeface="Cambria Math" panose="02040503050406030204" charset="0"/>
                  <a:cs typeface="Cambria Math" panose="02040503050406030204" charset="0"/>
                </a:rPr>
                <a:t>2</a:t>
              </a:r>
              <a:r>
                <a:rPr lang="en-US" altLang="zh-CN" sz="1800">
                  <a:latin typeface="Cambria Math" panose="02040503050406030204" charset="0"/>
                  <a:cs typeface="Cambria Math" panose="02040503050406030204" charset="0"/>
                </a:rPr>
                <a:t>𝑎𝑠</a:t>
              </a:r>
              <a:endParaRPr lang="en-US" altLang="zh-CN" sz="1800" i="1">
                <a:latin typeface="Cambria Math" panose="02040503050406030204" charset="0"/>
                <a:cs typeface="Cambria Math" panose="02040503050406030204" charset="0"/>
              </a:endParaRPr>
            </a:p>
          </xdr:txBody>
        </xdr:sp>
      </mc:Fallback>
    </mc:AlternateContent>
    <xdr:clientData/>
  </xdr:oneCellAnchor>
  <xdr:twoCellAnchor editAs="oneCell">
    <xdr:from>
      <xdr:col>8</xdr:col>
      <xdr:colOff>647700</xdr:colOff>
      <xdr:row>0</xdr:row>
      <xdr:rowOff>190500</xdr:rowOff>
    </xdr:from>
    <xdr:to>
      <xdr:col>12</xdr:col>
      <xdr:colOff>266700</xdr:colOff>
      <xdr:row>0</xdr:row>
      <xdr:rowOff>2303145</xdr:rowOff>
    </xdr:to>
    <xdr:pic>
      <xdr:nvPicPr>
        <xdr:cNvPr id="10" name="图片 9" descr="三个基本公式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04020" y="190500"/>
          <a:ext cx="3947160" cy="2124075"/>
        </a:xfrm>
        <a:prstGeom prst="rect">
          <a:avLst/>
        </a:prstGeom>
      </xdr:spPr>
    </xdr:pic>
    <xdr:clientData/>
  </xdr:twoCellAnchor>
  <xdr:oneCellAnchor>
    <xdr:from>
      <xdr:col>8</xdr:col>
      <xdr:colOff>0</xdr:colOff>
      <xdr:row>16</xdr:row>
      <xdr:rowOff>63500</xdr:rowOff>
    </xdr:from>
    <xdr:ext cx="2993390" cy="33591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文本框 2">
              <a:extLst>
                <a:ext uri="{FF2B5EF4-FFF2-40B4-BE49-F238E27FC236}">
                  <a16:creationId xmlns:a16="http://schemas.microsoft.com/office/drawing/2014/main" id="{00000000-0008-0000-0200-000003000000}"/>
                </a:ext>
              </a:extLst>
            </xdr:cNvPr>
            <xdr:cNvSpPr txBox="1"/>
          </xdr:nvSpPr>
          <xdr:spPr>
            <a:xfrm>
              <a:off x="8656320" y="6540500"/>
              <a:ext cx="2993390" cy="33591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>
              <a:defPPr>
                <a:defRPr lang="zh-CN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𝑉𝑀𝐴𝑋</m:t>
                    </m:r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=</m:t>
                    </m:r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𝜔</m:t>
                    </m:r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∗</m:t>
                    </m:r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𝐶𝑜𝑢𝑛𝑡</m:t>
                    </m:r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∗</m:t>
                    </m:r>
                    <m:sSup>
                      <m:sSupPr>
                        <m:ctrlPr>
                          <a:rPr lang="en-US" altLang="zh-CN" sz="1600" i="1">
                            <a:latin typeface="Cambria Math" panose="02040503050406030204" pitchFamily="18" charset="0"/>
                            <a:cs typeface="Cambria Math" panose="02040503050406030204" charset="0"/>
                          </a:rPr>
                        </m:ctrlPr>
                      </m:sSupPr>
                      <m:e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2</m:t>
                        </m:r>
                      </m:e>
                      <m:sup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24</m:t>
                        </m:r>
                      </m:sup>
                    </m:sSup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÷</m:t>
                    </m:r>
                    <m:sSub>
                      <m:sSubPr>
                        <m:ctrlPr>
                          <a:rPr lang="en-US" altLang="zh-CN" sz="1600" i="1">
                            <a:latin typeface="Cambria Math" panose="02040503050406030204" pitchFamily="18" charset="0"/>
                            <a:cs typeface="Cambria Math" panose="02040503050406030204" charset="0"/>
                          </a:rPr>
                        </m:ctrlPr>
                      </m:sSubPr>
                      <m:e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𝑓</m:t>
                        </m:r>
                      </m:e>
                      <m:sub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𝑐𝑙𝑘</m:t>
                        </m:r>
                      </m:sub>
                    </m:sSub>
                  </m:oMath>
                </m:oMathPara>
              </a14:m>
              <a:endParaRPr lang="zh-CN" altLang="en-US" sz="1600"/>
            </a:p>
          </xdr:txBody>
        </xdr:sp>
      </mc:Choice>
      <mc:Fallback xmlns:r="http://schemas.openxmlformats.org/officeDocument/2006/relationships" xmlns="">
        <xdr:sp>
          <xdr:nvSpPr>
            <xdr:cNvPr id="3" name="文本框 2"/>
            <xdr:cNvSpPr txBox="1"/>
          </xdr:nvSpPr>
          <xdr:spPr>
            <a:xfrm>
              <a:off x="8656320" y="6540500"/>
              <a:ext cx="2993390" cy="33591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>
              <a:defPPr>
                <a:defRPr lang="zh-CN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𝑉𝑀𝐴𝑋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𝜔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∗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𝐶𝑜𝑢𝑛𝑡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∗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2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24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÷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𝑓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𝑐𝑙𝑘</a:t>
              </a:r>
              <a:endParaRPr lang="zh-CN" altLang="en-US" sz="1600"/>
            </a:p>
          </xdr:txBody>
        </xdr:sp>
      </mc:Fallback>
    </mc:AlternateContent>
    <xdr:clientData/>
  </xdr:oneCellAnchor>
  <xdr:oneCellAnchor>
    <xdr:from>
      <xdr:col>8</xdr:col>
      <xdr:colOff>380365</xdr:colOff>
      <xdr:row>15</xdr:row>
      <xdr:rowOff>0</xdr:rowOff>
    </xdr:from>
    <xdr:ext cx="3211195" cy="3422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文本框 4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 txBox="1"/>
          </xdr:nvSpPr>
          <xdr:spPr>
            <a:xfrm>
              <a:off x="9036685" y="6210300"/>
              <a:ext cx="3211195" cy="34226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>
              <a:defPPr>
                <a:defRPr lang="zh-CN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𝜔</m:t>
                    </m:r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=</m:t>
                    </m:r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𝑉𝑀𝐴𝑋</m:t>
                    </m:r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∗</m:t>
                    </m:r>
                    <m:sSub>
                      <m:sSubPr>
                        <m:ctrlPr>
                          <a:rPr lang="en-US" altLang="zh-CN" sz="1600" i="1">
                            <a:latin typeface="Cambria Math" panose="02040503050406030204" pitchFamily="18" charset="0"/>
                            <a:cs typeface="Cambria Math" panose="02040503050406030204" charset="0"/>
                          </a:rPr>
                        </m:ctrlPr>
                      </m:sSubPr>
                      <m:e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𝑓</m:t>
                        </m:r>
                      </m:e>
                      <m:sub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𝑐𝑙𝑘</m:t>
                        </m:r>
                      </m:sub>
                    </m:sSub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÷</m:t>
                    </m:r>
                    <m:sSup>
                      <m:sSupPr>
                        <m:ctrlPr>
                          <a:rPr lang="en-US" altLang="zh-CN" sz="1600" i="1">
                            <a:latin typeface="Cambria Math" panose="02040503050406030204" pitchFamily="18" charset="0"/>
                            <a:cs typeface="Cambria Math" panose="02040503050406030204" charset="0"/>
                          </a:rPr>
                        </m:ctrlPr>
                      </m:sSupPr>
                      <m:e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2</m:t>
                        </m:r>
                      </m:e>
                      <m:sup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24</m:t>
                        </m:r>
                      </m:sup>
                    </m:sSup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÷</m:t>
                    </m:r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𝐶𝑜𝑢𝑛𝑡</m:t>
                    </m:r>
                  </m:oMath>
                </m:oMathPara>
              </a14:m>
              <a:endParaRPr lang="zh-CN" altLang="en-US" sz="1600"/>
            </a:p>
          </xdr:txBody>
        </xdr:sp>
      </mc:Choice>
      <mc:Fallback xmlns:r="http://schemas.openxmlformats.org/officeDocument/2006/relationships" xmlns="">
        <xdr:sp>
          <xdr:nvSpPr>
            <xdr:cNvPr id="5" name="文本框 4"/>
            <xdr:cNvSpPr txBox="1"/>
          </xdr:nvSpPr>
          <xdr:spPr>
            <a:xfrm>
              <a:off x="9036685" y="6210300"/>
              <a:ext cx="3211195" cy="34226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>
              <a:defPPr>
                <a:defRPr lang="zh-CN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𝜔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𝑉𝑀𝐴𝑋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∗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𝑓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𝑐𝑙𝑘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÷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2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24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÷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𝐶𝑜𝑢𝑛𝑡</a:t>
              </a:r>
              <a:endParaRPr lang="zh-CN" altLang="en-US" sz="1600"/>
            </a:p>
          </xdr:txBody>
        </xdr:sp>
      </mc:Fallback>
    </mc:AlternateContent>
    <xdr:clientData/>
  </xdr:oneCellAnchor>
  <xdr:oneCellAnchor>
    <xdr:from>
      <xdr:col>9</xdr:col>
      <xdr:colOff>380365</xdr:colOff>
      <xdr:row>20</xdr:row>
      <xdr:rowOff>0</xdr:rowOff>
    </xdr:from>
    <xdr:ext cx="3064510" cy="3422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文本框 5">
              <a:extLst>
                <a:ext uri="{FF2B5EF4-FFF2-40B4-BE49-F238E27FC236}">
                  <a16:creationId xmlns:a16="http://schemas.microsoft.com/office/drawing/2014/main" id="{00000000-0008-0000-0200-000006000000}"/>
                </a:ext>
              </a:extLst>
            </xdr:cNvPr>
            <xdr:cNvSpPr txBox="1"/>
          </xdr:nvSpPr>
          <xdr:spPr>
            <a:xfrm>
              <a:off x="10118725" y="7543800"/>
              <a:ext cx="3064510" cy="34226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>
              <a:defPPr>
                <a:defRPr lang="zh-CN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𝑎</m:t>
                    </m:r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=</m:t>
                    </m:r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𝐴𝑀𝐴𝑋</m:t>
                    </m:r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∗</m:t>
                    </m:r>
                    <m:sSubSup>
                      <m:sSubSupPr>
                        <m:ctrlPr>
                          <a:rPr lang="en-US" altLang="zh-CN" sz="1600" i="1">
                            <a:latin typeface="Cambria Math" panose="02040503050406030204" pitchFamily="18" charset="0"/>
                            <a:cs typeface="Cambria Math" panose="02040503050406030204" charset="0"/>
                          </a:rPr>
                        </m:ctrlPr>
                      </m:sSubSupPr>
                      <m:e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𝑓</m:t>
                        </m:r>
                      </m:e>
                      <m:sub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𝑐𝑙𝑘</m:t>
                        </m:r>
                      </m:sub>
                      <m:sup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2</m:t>
                        </m:r>
                      </m:sup>
                    </m:sSubSup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÷</m:t>
                    </m:r>
                    <m:sSup>
                      <m:sSupPr>
                        <m:ctrlPr>
                          <a:rPr lang="en-US" altLang="zh-CN" sz="1600" i="1">
                            <a:latin typeface="Cambria Math" panose="02040503050406030204" pitchFamily="18" charset="0"/>
                            <a:cs typeface="Cambria Math" panose="02040503050406030204" charset="0"/>
                          </a:rPr>
                        </m:ctrlPr>
                      </m:sSupPr>
                      <m:e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2</m:t>
                        </m:r>
                      </m:e>
                      <m:sup>
                        <m:r>
                          <a:rPr lang="en-US" altLang="zh-CN" sz="1600" i="1">
                            <a:latin typeface="Cambria Math" panose="02040503050406030204" charset="0"/>
                            <a:cs typeface="Cambria Math" panose="02040503050406030204" charset="0"/>
                          </a:rPr>
                          <m:t>41</m:t>
                        </m:r>
                      </m:sup>
                    </m:sSup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÷</m:t>
                    </m:r>
                    <m:r>
                      <a:rPr lang="en-US" altLang="zh-CN" sz="1600" i="1">
                        <a:latin typeface="Cambria Math" panose="02040503050406030204" charset="0"/>
                        <a:cs typeface="Cambria Math" panose="02040503050406030204" charset="0"/>
                      </a:rPr>
                      <m:t>𝐶𝑜𝑢𝑛𝑡</m:t>
                    </m:r>
                  </m:oMath>
                </m:oMathPara>
              </a14:m>
              <a:endParaRPr lang="en-US" altLang="zh-CN" sz="1600"/>
            </a:p>
          </xdr:txBody>
        </xdr:sp>
      </mc:Choice>
      <mc:Fallback xmlns:r="http://schemas.openxmlformats.org/officeDocument/2006/relationships" xmlns="">
        <xdr:sp>
          <xdr:nvSpPr>
            <xdr:cNvPr id="6" name="文本框 5"/>
            <xdr:cNvSpPr txBox="1"/>
          </xdr:nvSpPr>
          <xdr:spPr>
            <a:xfrm>
              <a:off x="10118725" y="7543800"/>
              <a:ext cx="3064510" cy="34226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>
              <a:defPPr>
                <a:defRPr lang="zh-CN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𝑎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𝐴𝑀𝐴𝑋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∗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𝑓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𝑐𝑙𝑘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2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÷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2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41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÷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𝐶𝑜𝑢𝑛𝑡</a:t>
              </a:r>
              <a:endParaRPr lang="en-US" altLang="zh-CN" sz="1600"/>
            </a:p>
          </xdr:txBody>
        </xdr:sp>
      </mc:Fallback>
    </mc:AlternateContent>
    <xdr:clientData/>
  </xdr:oneCellAnchor>
  <xdr:oneCellAnchor>
    <xdr:from>
      <xdr:col>9</xdr:col>
      <xdr:colOff>0</xdr:colOff>
      <xdr:row>21</xdr:row>
      <xdr:rowOff>71120</xdr:rowOff>
    </xdr:from>
    <xdr:ext cx="2873375" cy="34226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8" name="文本框 7">
              <a:extLst>
                <a:ext uri="{FF2B5EF4-FFF2-40B4-BE49-F238E27FC236}">
                  <a16:creationId xmlns:a16="http://schemas.microsoft.com/office/drawing/2014/main" id="{00000000-0008-0000-0200-000008000000}"/>
                </a:ext>
              </a:extLst>
            </xdr:cNvPr>
            <xdr:cNvSpPr txBox="1"/>
          </xdr:nvSpPr>
          <xdr:spPr>
            <a:xfrm>
              <a:off x="9738360" y="7881620"/>
              <a:ext cx="2873375" cy="34226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>
              <a:defPPr>
                <a:defRPr lang="zh-CN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AMAX</a:t>
              </a:r>
              <a14:m>
                <m:oMath xmlns:m="http://schemas.openxmlformats.org/officeDocument/2006/math">
                  <m:r>
                    <a:rPr lang="en-US" altLang="zh-CN" sz="1600" i="1">
                      <a:latin typeface="Cambria Math" panose="02040503050406030204" charset="0"/>
                      <a:cs typeface="Cambria Math" panose="02040503050406030204" charset="0"/>
                    </a:rPr>
                    <m:t>=</m:t>
                  </m:r>
                  <m:r>
                    <a:rPr lang="en-US" altLang="zh-CN" sz="1600" i="1">
                      <a:latin typeface="Cambria Math" panose="02040503050406030204" charset="0"/>
                      <a:cs typeface="Cambria Math" panose="02040503050406030204" charset="0"/>
                    </a:rPr>
                    <m:t>𝑎</m:t>
                  </m:r>
                  <m:r>
                    <a:rPr lang="en-US" altLang="zh-CN" sz="1600" i="1">
                      <a:latin typeface="Cambria Math" panose="02040503050406030204" charset="0"/>
                      <a:cs typeface="Cambria Math" panose="02040503050406030204" charset="0"/>
                    </a:rPr>
                    <m:t>÷</m:t>
                  </m:r>
                  <m:sSubSup>
                    <m:sSubSupPr>
                      <m:ctrlPr>
                        <a:rPr lang="en-US" altLang="zh-CN" sz="1600" i="1">
                          <a:latin typeface="Cambria Math" panose="02040503050406030204" pitchFamily="18" charset="0"/>
                          <a:cs typeface="Cambria Math" panose="02040503050406030204" charset="0"/>
                        </a:rPr>
                      </m:ctrlPr>
                    </m:sSubSupPr>
                    <m:e>
                      <m:r>
                        <a:rPr lang="en-US" altLang="zh-CN" sz="1600" i="1">
                          <a:latin typeface="Cambria Math" panose="02040503050406030204" charset="0"/>
                          <a:cs typeface="Cambria Math" panose="02040503050406030204" charset="0"/>
                        </a:rPr>
                        <m:t>𝑓</m:t>
                      </m:r>
                    </m:e>
                    <m:sub>
                      <m:r>
                        <a:rPr lang="en-US" altLang="zh-CN" sz="1600" i="1">
                          <a:latin typeface="Cambria Math" panose="02040503050406030204" charset="0"/>
                          <a:cs typeface="Cambria Math" panose="02040503050406030204" charset="0"/>
                        </a:rPr>
                        <m:t>𝑐𝑙𝑘</m:t>
                      </m:r>
                    </m:sub>
                    <m:sup>
                      <m:r>
                        <a:rPr lang="en-US" altLang="zh-CN" sz="1600" i="1">
                          <a:latin typeface="Cambria Math" panose="02040503050406030204" charset="0"/>
                          <a:cs typeface="Cambria Math" panose="02040503050406030204" charset="0"/>
                        </a:rPr>
                        <m:t>2</m:t>
                      </m:r>
                    </m:sup>
                  </m:sSubSup>
                  <m:r>
                    <a:rPr lang="en-US" altLang="zh-CN" sz="1600" i="1">
                      <a:latin typeface="Cambria Math" panose="02040503050406030204" charset="0"/>
                      <a:cs typeface="Cambria Math" panose="02040503050406030204" charset="0"/>
                    </a:rPr>
                    <m:t>∗</m:t>
                  </m:r>
                  <m:sSup>
                    <m:sSupPr>
                      <m:ctrlPr>
                        <a:rPr lang="en-US" altLang="zh-CN" sz="1600" i="1">
                          <a:latin typeface="Cambria Math" panose="02040503050406030204" pitchFamily="18" charset="0"/>
                          <a:cs typeface="Cambria Math" panose="02040503050406030204" charset="0"/>
                        </a:rPr>
                      </m:ctrlPr>
                    </m:sSupPr>
                    <m:e>
                      <m:r>
                        <a:rPr lang="en-US" altLang="zh-CN" sz="1600" i="1">
                          <a:latin typeface="Cambria Math" panose="02040503050406030204" charset="0"/>
                          <a:cs typeface="Cambria Math" panose="02040503050406030204" charset="0"/>
                        </a:rPr>
                        <m:t>2</m:t>
                      </m:r>
                    </m:e>
                    <m:sup>
                      <m:r>
                        <a:rPr lang="en-US" altLang="zh-CN" sz="1600" i="1">
                          <a:latin typeface="Cambria Math" panose="02040503050406030204" charset="0"/>
                          <a:cs typeface="Cambria Math" panose="02040503050406030204" charset="0"/>
                        </a:rPr>
                        <m:t>41</m:t>
                      </m:r>
                    </m:sup>
                  </m:sSup>
                  <m:r>
                    <a:rPr lang="en-US" altLang="zh-CN" sz="1600" i="1">
                      <a:latin typeface="Cambria Math" panose="02040503050406030204" charset="0"/>
                      <a:cs typeface="Cambria Math" panose="02040503050406030204" charset="0"/>
                    </a:rPr>
                    <m:t>∗</m:t>
                  </m:r>
                  <m:r>
                    <a:rPr lang="en-US" altLang="zh-CN" sz="1600" i="1">
                      <a:latin typeface="Cambria Math" panose="02040503050406030204" charset="0"/>
                      <a:cs typeface="Cambria Math" panose="02040503050406030204" charset="0"/>
                    </a:rPr>
                    <m:t>𝐶𝑜𝑢𝑛𝑡</m:t>
                  </m:r>
                </m:oMath>
              </a14:m>
              <a:endParaRPr lang="en-US" altLang="zh-CN" sz="1600"/>
            </a:p>
          </xdr:txBody>
        </xdr:sp>
      </mc:Choice>
      <mc:Fallback xmlns:r="http://schemas.openxmlformats.org/officeDocument/2006/relationships" xmlns="">
        <xdr:sp>
          <xdr:nvSpPr>
            <xdr:cNvPr id="8" name="文本框 7"/>
            <xdr:cNvSpPr txBox="1"/>
          </xdr:nvSpPr>
          <xdr:spPr>
            <a:xfrm>
              <a:off x="9738360" y="7881620"/>
              <a:ext cx="2873375" cy="342265"/>
            </a:xfrm>
            <a:prstGeom prst="rect">
              <a:avLst/>
            </a:prstGeom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rtlCol="0" anchor="t">
              <a:spAutoFit/>
            </a:bodyPr>
            <a:lstStyle>
              <a:defPPr>
                <a:defRPr lang="zh-CN">
                  <a:solidFill>
                    <a:schemeClr val="tx1"/>
                  </a:solidFill>
                </a:defRPr>
              </a:defPPr>
              <a:lvl1pPr marL="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1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AMAX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=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𝑎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÷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𝑓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_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𝑐𝑙𝑘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2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∗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2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^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41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∗</a:t>
              </a:r>
              <a:r>
                <a:rPr lang="en-US" altLang="zh-CN" sz="1600">
                  <a:latin typeface="Cambria Math" panose="02040503050406030204" charset="0"/>
                  <a:cs typeface="Cambria Math" panose="02040503050406030204" charset="0"/>
                </a:rPr>
                <a:t>𝐶𝑜𝑢𝑛𝑡</a:t>
              </a:r>
              <a:endParaRPr lang="en-US" altLang="zh-CN" sz="16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2"/>
  <sheetViews>
    <sheetView zoomScale="145" zoomScaleNormal="145" workbookViewId="0">
      <selection activeCell="D11" sqref="D11"/>
    </sheetView>
  </sheetViews>
  <sheetFormatPr defaultColWidth="9" defaultRowHeight="14.4" x14ac:dyDescent="0.25"/>
  <cols>
    <col min="1" max="1" width="20.77734375" customWidth="1"/>
    <col min="2" max="2" width="12.6640625"/>
    <col min="3" max="3" width="16.88671875" customWidth="1"/>
    <col min="4" max="4" width="12.77734375"/>
    <col min="5" max="5" width="16.6640625" customWidth="1"/>
    <col min="6" max="13" width="12.6640625" customWidth="1"/>
    <col min="14" max="23" width="9" customWidth="1"/>
  </cols>
  <sheetData>
    <row r="1" spans="1:12" ht="19.95" customHeight="1" x14ac:dyDescent="0.25">
      <c r="A1" s="28" t="s">
        <v>0</v>
      </c>
      <c r="B1" s="28"/>
      <c r="C1" s="28"/>
    </row>
    <row r="2" spans="1:12" ht="19.95" customHeight="1" x14ac:dyDescent="0.25">
      <c r="A2" s="29" t="s">
        <v>1</v>
      </c>
      <c r="B2" s="29"/>
      <c r="C2" s="5">
        <v>1.8</v>
      </c>
      <c r="D2" s="20"/>
      <c r="E2" s="20"/>
      <c r="F2" s="20"/>
    </row>
    <row r="3" spans="1:12" ht="19.95" customHeight="1" x14ac:dyDescent="0.25">
      <c r="A3" s="30" t="s">
        <v>2</v>
      </c>
      <c r="B3" s="30"/>
      <c r="C3" s="5">
        <v>256</v>
      </c>
      <c r="E3" s="21"/>
    </row>
    <row r="4" spans="1:12" ht="19.95" customHeight="1" x14ac:dyDescent="0.25">
      <c r="A4" s="31" t="s">
        <v>3</v>
      </c>
      <c r="B4" s="32"/>
      <c r="C4" s="1">
        <f>_xlfn.SWITCH(C3,256,0,128,1,64,2,32,3,16,4,8,5,4,6,2,7,1,8)</f>
        <v>0</v>
      </c>
      <c r="D4" s="21"/>
    </row>
    <row r="5" spans="1:12" ht="19.95" customHeight="1" x14ac:dyDescent="0.25">
      <c r="A5" s="29" t="s">
        <v>4</v>
      </c>
      <c r="B5" s="29"/>
      <c r="C5" s="1">
        <f>360/C2*C3</f>
        <v>51200</v>
      </c>
      <c r="D5" s="20"/>
      <c r="E5" s="20"/>
      <c r="F5" s="20"/>
    </row>
    <row r="6" spans="1:12" ht="19.95" customHeight="1" x14ac:dyDescent="0.25">
      <c r="A6" s="29" t="s">
        <v>5</v>
      </c>
      <c r="B6" s="29"/>
      <c r="C6" s="4">
        <v>16000000</v>
      </c>
      <c r="D6" s="20"/>
      <c r="E6" s="20"/>
      <c r="F6" s="20"/>
    </row>
    <row r="7" spans="1:12" ht="19.95" customHeight="1" x14ac:dyDescent="0.25">
      <c r="A7" s="29" t="s">
        <v>6</v>
      </c>
      <c r="B7" s="29"/>
      <c r="C7" s="1">
        <f>(C6^2)/(512*256)/(2^24)/$C$5</f>
        <v>2.2737367544323206E-3</v>
      </c>
      <c r="D7" s="22" t="s">
        <v>7</v>
      </c>
      <c r="E7" s="20"/>
      <c r="F7" s="20"/>
    </row>
    <row r="8" spans="1:12" ht="19.95" customHeight="1" x14ac:dyDescent="0.25">
      <c r="A8" s="29" t="s">
        <v>8</v>
      </c>
      <c r="B8" s="29"/>
      <c r="C8" s="1">
        <f>1/C7</f>
        <v>439.80465111040002</v>
      </c>
      <c r="D8" s="22" t="s">
        <v>7</v>
      </c>
      <c r="E8" s="21"/>
    </row>
    <row r="9" spans="1:12" ht="19.95" customHeight="1" x14ac:dyDescent="0.25">
      <c r="E9" s="21"/>
    </row>
    <row r="10" spans="1:12" ht="19.95" customHeight="1" x14ac:dyDescent="0.25">
      <c r="A10" s="30" t="s">
        <v>9</v>
      </c>
      <c r="B10" s="30"/>
      <c r="C10" s="30"/>
      <c r="D10" s="30"/>
      <c r="E10" s="30"/>
      <c r="F10" s="30"/>
      <c r="G10" s="30"/>
      <c r="H10" s="30"/>
    </row>
    <row r="11" spans="1:12" ht="19.95" customHeight="1" x14ac:dyDescent="0.25">
      <c r="A11" s="1" t="s">
        <v>10</v>
      </c>
      <c r="B11" s="5">
        <v>342</v>
      </c>
      <c r="C11" s="1" t="s">
        <v>11</v>
      </c>
      <c r="D11" s="16">
        <f>B11/60/$C$6*(2^24)*$C$5</f>
        <v>306016.41984000005</v>
      </c>
      <c r="E11" s="1" t="s">
        <v>12</v>
      </c>
      <c r="F11" s="1">
        <f>B11/60</f>
        <v>5.7</v>
      </c>
      <c r="G11" s="33" t="s">
        <v>13</v>
      </c>
      <c r="H11" s="34"/>
      <c r="I11" s="16">
        <f>B11/60*C5</f>
        <v>291840</v>
      </c>
      <c r="J11" s="35" t="s">
        <v>14</v>
      </c>
      <c r="K11" s="36"/>
      <c r="L11" s="16">
        <f>I11/C3</f>
        <v>1140</v>
      </c>
    </row>
    <row r="12" spans="1:12" ht="19.95" customHeight="1" x14ac:dyDescent="0.25">
      <c r="A12" s="1" t="s">
        <v>11</v>
      </c>
      <c r="B12" s="23">
        <v>1678</v>
      </c>
      <c r="C12" s="1" t="s">
        <v>10</v>
      </c>
      <c r="D12" s="1">
        <f>B12*$C$6/(2^24)/$C$5*60</f>
        <v>1.8753111362457275</v>
      </c>
      <c r="E12" s="1" t="s">
        <v>12</v>
      </c>
      <c r="F12" s="1">
        <f>D12/60</f>
        <v>3.1255185604095459E-2</v>
      </c>
      <c r="G12" s="33" t="s">
        <v>13</v>
      </c>
      <c r="H12" s="34"/>
      <c r="I12" s="16">
        <f>D12/60*C5</f>
        <v>1600.2655029296875</v>
      </c>
      <c r="J12" s="35" t="s">
        <v>14</v>
      </c>
      <c r="K12" s="36"/>
      <c r="L12" s="16">
        <f>I12/C3</f>
        <v>6.2510371208190918</v>
      </c>
    </row>
    <row r="13" spans="1:12" ht="19.95" customHeight="1" x14ac:dyDescent="0.25">
      <c r="A13" s="7"/>
      <c r="B13" s="7"/>
      <c r="C13" s="7"/>
      <c r="D13" s="7"/>
      <c r="E13" s="7"/>
      <c r="F13" s="7"/>
      <c r="G13" s="7"/>
    </row>
    <row r="14" spans="1:12" ht="19.95" customHeight="1" x14ac:dyDescent="0.25">
      <c r="A14" s="30" t="s">
        <v>15</v>
      </c>
      <c r="B14" s="30"/>
      <c r="C14" s="30"/>
      <c r="D14" s="30"/>
      <c r="E14" s="30"/>
      <c r="F14" s="30"/>
      <c r="G14" s="7"/>
    </row>
    <row r="15" spans="1:12" ht="19.95" customHeight="1" x14ac:dyDescent="0.25">
      <c r="A15" s="18" t="s">
        <v>16</v>
      </c>
      <c r="B15" s="24">
        <v>3.34897976680378E-3</v>
      </c>
      <c r="C15" s="18" t="s">
        <v>17</v>
      </c>
      <c r="D15" s="25">
        <f>B15*$C$5*(2^41)/($C$6^2)</f>
        <v>1.4728968779149252</v>
      </c>
      <c r="E15" s="7"/>
      <c r="F15" s="7"/>
      <c r="G15" s="7"/>
    </row>
    <row r="16" spans="1:12" ht="19.95" customHeight="1" x14ac:dyDescent="0.25">
      <c r="A16" s="1" t="s">
        <v>17</v>
      </c>
      <c r="B16" s="5">
        <v>30000</v>
      </c>
      <c r="C16" s="1" t="s">
        <v>16</v>
      </c>
      <c r="D16" s="1">
        <f>B16*($C$6^2)/(2^41)/$C$5</f>
        <v>68.212102632969618</v>
      </c>
      <c r="E16" s="1" t="s">
        <v>18</v>
      </c>
      <c r="F16" s="1">
        <f>F11/D16</f>
        <v>8.3562883710976005E-2</v>
      </c>
      <c r="G16" s="7"/>
      <c r="H16" s="7"/>
    </row>
    <row r="17" spans="1:11" ht="19.95" customHeight="1" x14ac:dyDescent="0.25">
      <c r="B17" t="s">
        <v>19</v>
      </c>
      <c r="C17" s="7"/>
      <c r="D17" s="7"/>
      <c r="E17" s="7"/>
      <c r="F17" s="7"/>
      <c r="I17" s="7"/>
    </row>
    <row r="18" spans="1:11" ht="19.95" customHeight="1" x14ac:dyDescent="0.25">
      <c r="A18" s="30" t="s">
        <v>20</v>
      </c>
      <c r="B18" s="30"/>
      <c r="C18" s="30"/>
      <c r="D18" s="30"/>
      <c r="E18" s="30"/>
      <c r="F18" s="30"/>
      <c r="G18" s="30"/>
      <c r="H18" s="30"/>
      <c r="I18" s="27"/>
    </row>
    <row r="19" spans="1:11" ht="21" customHeight="1" x14ac:dyDescent="0.25">
      <c r="A19" s="7" t="s">
        <v>21</v>
      </c>
      <c r="B19" s="24">
        <v>261</v>
      </c>
      <c r="C19" s="18" t="s">
        <v>22</v>
      </c>
      <c r="D19" s="25">
        <f>B19/60*$C$5*(2^24)/$C$6</f>
        <v>233538.84671999997</v>
      </c>
      <c r="E19" s="18" t="s">
        <v>23</v>
      </c>
      <c r="F19" s="25">
        <f>MIN((2^20-1),2^24/$D$19*C3/256)</f>
        <v>71.83908045977013</v>
      </c>
      <c r="G19" s="7"/>
      <c r="H19" s="7"/>
      <c r="K19" s="7"/>
    </row>
    <row r="20" spans="1:11" ht="19.95" customHeight="1" x14ac:dyDescent="0.25">
      <c r="A20" s="1" t="s">
        <v>23</v>
      </c>
      <c r="B20" s="23">
        <v>261</v>
      </c>
      <c r="C20" s="1" t="s">
        <v>22</v>
      </c>
      <c r="D20" s="1">
        <f>(2^24)/B20/256*$C$3</f>
        <v>64280.521072796902</v>
      </c>
      <c r="E20" s="1" t="s">
        <v>10</v>
      </c>
      <c r="F20" s="1">
        <f>D20*$C$6/(2^24)/$C$5*60</f>
        <v>71.839080459770088</v>
      </c>
      <c r="G20" s="7"/>
      <c r="I20" s="7"/>
    </row>
    <row r="21" spans="1:11" ht="154.94999999999999" customHeight="1" x14ac:dyDescent="0.25">
      <c r="A21" s="37" t="s">
        <v>24</v>
      </c>
      <c r="B21" s="37"/>
      <c r="C21" s="37"/>
      <c r="D21" s="37"/>
      <c r="E21" s="37"/>
      <c r="F21" s="37"/>
      <c r="I21" s="7"/>
    </row>
    <row r="22" spans="1:11" ht="19.95" customHeight="1" x14ac:dyDescent="0.25">
      <c r="A22" s="26"/>
      <c r="B22" s="26"/>
      <c r="C22" s="26"/>
      <c r="D22" s="26"/>
      <c r="E22" s="26"/>
      <c r="F22" s="26"/>
      <c r="I22" s="7"/>
    </row>
    <row r="23" spans="1:11" ht="19.95" customHeight="1" x14ac:dyDescent="0.25">
      <c r="A23" s="26"/>
      <c r="B23" s="26"/>
      <c r="C23" s="26"/>
      <c r="D23" s="26"/>
      <c r="E23" s="26"/>
      <c r="F23" s="26"/>
      <c r="I23" s="7"/>
    </row>
    <row r="24" spans="1:11" ht="19.95" customHeight="1" x14ac:dyDescent="0.25">
      <c r="C24" s="7"/>
      <c r="D24" s="7"/>
      <c r="E24" s="7"/>
      <c r="F24" s="7"/>
    </row>
    <row r="25" spans="1:11" ht="19.95" customHeight="1" x14ac:dyDescent="0.25">
      <c r="A25" s="38" t="s">
        <v>25</v>
      </c>
      <c r="B25" s="38"/>
      <c r="C25" s="38"/>
      <c r="D25" s="38"/>
      <c r="E25" s="38"/>
      <c r="F25" s="38"/>
    </row>
    <row r="26" spans="1:11" ht="19.95" customHeight="1" x14ac:dyDescent="0.25">
      <c r="A26" s="30" t="s">
        <v>26</v>
      </c>
      <c r="B26" s="30"/>
      <c r="C26" s="30"/>
      <c r="D26" s="30"/>
      <c r="E26" s="30"/>
      <c r="F26" s="30"/>
    </row>
    <row r="27" spans="1:11" ht="19.95" customHeight="1" x14ac:dyDescent="0.25">
      <c r="A27" s="39"/>
      <c r="B27" s="39"/>
      <c r="C27" s="39"/>
      <c r="D27" s="39"/>
      <c r="E27" s="39"/>
      <c r="F27" s="39"/>
    </row>
    <row r="28" spans="1:11" ht="19.95" customHeight="1" x14ac:dyDescent="0.25">
      <c r="A28" s="39"/>
      <c r="B28" s="39"/>
      <c r="C28" s="39"/>
      <c r="D28" s="39"/>
      <c r="E28" s="39"/>
      <c r="F28" s="39"/>
    </row>
    <row r="29" spans="1:11" ht="19.95" customHeight="1" x14ac:dyDescent="0.25">
      <c r="A29" s="30" t="s">
        <v>27</v>
      </c>
      <c r="B29" s="30"/>
      <c r="C29" s="30"/>
      <c r="D29" s="30"/>
      <c r="E29" s="30"/>
      <c r="F29" s="30"/>
    </row>
    <row r="30" spans="1:11" ht="19.95" customHeight="1" x14ac:dyDescent="0.25">
      <c r="A30" s="39"/>
      <c r="B30" s="39"/>
      <c r="C30" s="39"/>
      <c r="D30" s="39"/>
      <c r="E30" s="39"/>
      <c r="F30" s="39"/>
    </row>
    <row r="31" spans="1:11" ht="19.95" customHeight="1" x14ac:dyDescent="0.25">
      <c r="A31" s="39"/>
      <c r="B31" s="39"/>
      <c r="C31" s="39"/>
      <c r="D31" s="39"/>
      <c r="E31" s="39"/>
      <c r="F31" s="39"/>
    </row>
    <row r="32" spans="1:11" ht="19.95" customHeight="1" x14ac:dyDescent="0.25">
      <c r="A32" s="30" t="s">
        <v>28</v>
      </c>
      <c r="B32" s="30"/>
      <c r="C32" s="30"/>
      <c r="D32" s="30"/>
      <c r="E32" s="30"/>
      <c r="F32" s="30"/>
    </row>
    <row r="33" spans="1:6" ht="19.95" customHeight="1" x14ac:dyDescent="0.25">
      <c r="A33" s="39"/>
      <c r="B33" s="39"/>
      <c r="C33" s="39"/>
      <c r="D33" s="39"/>
      <c r="E33" s="39"/>
      <c r="F33" s="39"/>
    </row>
    <row r="34" spans="1:6" ht="19.95" customHeight="1" x14ac:dyDescent="0.25">
      <c r="A34" s="39"/>
      <c r="B34" s="39"/>
      <c r="C34" s="39"/>
      <c r="D34" s="39"/>
      <c r="E34" s="39"/>
      <c r="F34" s="39"/>
    </row>
    <row r="35" spans="1:6" ht="19.95" customHeight="1" x14ac:dyDescent="0.25">
      <c r="A35" s="39"/>
      <c r="B35" s="39"/>
      <c r="C35" s="39"/>
      <c r="D35" s="39"/>
      <c r="E35" s="39"/>
      <c r="F35" s="39"/>
    </row>
    <row r="36" spans="1:6" ht="19.95" customHeight="1" x14ac:dyDescent="0.25">
      <c r="A36" s="30" t="s">
        <v>29</v>
      </c>
      <c r="B36" s="30"/>
      <c r="C36" s="30"/>
      <c r="D36" s="30"/>
      <c r="E36" s="30"/>
      <c r="F36" s="30"/>
    </row>
    <row r="37" spans="1:6" ht="19.95" customHeight="1" x14ac:dyDescent="0.25">
      <c r="A37" s="39"/>
      <c r="B37" s="39"/>
      <c r="C37" s="39"/>
      <c r="D37" s="39"/>
      <c r="E37" s="39"/>
      <c r="F37" s="39"/>
    </row>
    <row r="38" spans="1:6" ht="19.95" customHeight="1" x14ac:dyDescent="0.25">
      <c r="A38" s="39"/>
      <c r="B38" s="39"/>
      <c r="C38" s="39"/>
      <c r="D38" s="39"/>
      <c r="E38" s="39"/>
      <c r="F38" s="39"/>
    </row>
    <row r="39" spans="1:6" ht="19.95" customHeight="1" x14ac:dyDescent="0.25">
      <c r="A39" s="39"/>
      <c r="B39" s="39"/>
      <c r="C39" s="39"/>
      <c r="D39" s="39"/>
      <c r="E39" s="39"/>
      <c r="F39" s="39"/>
    </row>
    <row r="40" spans="1:6" ht="19.95" customHeight="1" x14ac:dyDescent="0.25"/>
    <row r="41" spans="1:6" ht="19.95" customHeight="1" x14ac:dyDescent="0.25"/>
    <row r="42" spans="1:6" ht="19.95" customHeight="1" x14ac:dyDescent="0.25"/>
    <row r="43" spans="1:6" ht="19.95" customHeight="1" x14ac:dyDescent="0.25"/>
    <row r="44" spans="1:6" ht="19.95" customHeight="1" x14ac:dyDescent="0.25"/>
    <row r="45" spans="1:6" ht="21" customHeight="1" x14ac:dyDescent="0.25">
      <c r="B45" s="15"/>
      <c r="D45" s="7"/>
      <c r="E45" s="7"/>
      <c r="F45" s="7"/>
    </row>
    <row r="46" spans="1:6" ht="21" customHeight="1" x14ac:dyDescent="0.25">
      <c r="B46" s="15"/>
      <c r="D46" s="7"/>
      <c r="E46" s="7"/>
      <c r="F46" s="7"/>
    </row>
    <row r="47" spans="1:6" ht="21" customHeight="1" x14ac:dyDescent="0.25">
      <c r="B47" s="15"/>
      <c r="D47" s="7"/>
      <c r="E47" s="7"/>
      <c r="F47" s="7"/>
    </row>
    <row r="48" spans="1:6" ht="21" customHeight="1" x14ac:dyDescent="0.25">
      <c r="B48" s="15"/>
      <c r="D48" s="7"/>
      <c r="E48" s="7"/>
      <c r="F48" s="7"/>
    </row>
    <row r="49" spans="2:13" ht="21" customHeight="1" x14ac:dyDescent="0.25">
      <c r="B49" s="15"/>
      <c r="D49" s="7"/>
      <c r="E49" s="7"/>
      <c r="F49" s="7"/>
    </row>
    <row r="50" spans="2:13" ht="21" customHeight="1" x14ac:dyDescent="0.25">
      <c r="B50" s="15"/>
      <c r="D50" s="7"/>
      <c r="E50" s="7"/>
      <c r="F50" s="7"/>
    </row>
    <row r="51" spans="2:13" ht="21" customHeight="1" x14ac:dyDescent="0.25">
      <c r="D51" s="7"/>
      <c r="E51" s="7"/>
      <c r="F51" s="7"/>
    </row>
    <row r="52" spans="2:13" ht="21" customHeight="1" x14ac:dyDescent="0.25">
      <c r="D52" s="7"/>
      <c r="E52" s="7"/>
      <c r="F52" s="7"/>
    </row>
    <row r="53" spans="2:13" ht="21" customHeight="1" x14ac:dyDescent="0.25">
      <c r="D53" s="7"/>
      <c r="E53" s="7"/>
      <c r="F53" s="7"/>
    </row>
    <row r="54" spans="2:13" ht="21" customHeight="1" x14ac:dyDescent="0.25">
      <c r="D54" s="7"/>
      <c r="E54" s="7"/>
      <c r="F54" s="7"/>
    </row>
    <row r="55" spans="2:13" ht="21" customHeight="1" x14ac:dyDescent="0.25">
      <c r="D55" s="7"/>
      <c r="E55" s="7"/>
      <c r="F55" s="7"/>
    </row>
    <row r="56" spans="2:13" ht="21" customHeight="1" x14ac:dyDescent="0.25">
      <c r="D56" s="7"/>
      <c r="E56" s="7"/>
      <c r="F56" s="7"/>
    </row>
    <row r="57" spans="2:13" ht="21" customHeight="1" x14ac:dyDescent="0.25">
      <c r="E57" s="15"/>
      <c r="K57" s="7"/>
      <c r="L57" s="7"/>
      <c r="M57" s="7"/>
    </row>
    <row r="58" spans="2:13" ht="21" customHeight="1" x14ac:dyDescent="0.25">
      <c r="E58" s="15"/>
      <c r="K58" s="7"/>
      <c r="L58" s="7"/>
      <c r="M58" s="7"/>
    </row>
    <row r="59" spans="2:13" ht="21" customHeight="1" x14ac:dyDescent="0.25">
      <c r="E59" s="15"/>
      <c r="K59" s="7"/>
      <c r="L59" s="7"/>
      <c r="M59" s="7"/>
    </row>
    <row r="60" spans="2:13" ht="21" customHeight="1" x14ac:dyDescent="0.25">
      <c r="E60" s="15"/>
      <c r="K60" s="7"/>
      <c r="L60" s="7"/>
      <c r="M60" s="7"/>
    </row>
    <row r="61" spans="2:13" ht="21" customHeight="1" x14ac:dyDescent="0.25">
      <c r="E61" s="15"/>
      <c r="K61" s="7"/>
      <c r="L61" s="7"/>
      <c r="M61" s="7"/>
    </row>
    <row r="62" spans="2:13" x14ac:dyDescent="0.25">
      <c r="K62" s="7"/>
      <c r="L62" s="7"/>
      <c r="M62" s="7"/>
    </row>
  </sheetData>
  <mergeCells count="25">
    <mergeCell ref="A36:F36"/>
    <mergeCell ref="A37:F39"/>
    <mergeCell ref="A27:F28"/>
    <mergeCell ref="A30:F31"/>
    <mergeCell ref="A33:F35"/>
    <mergeCell ref="A21:F21"/>
    <mergeCell ref="A25:F25"/>
    <mergeCell ref="A26:F26"/>
    <mergeCell ref="A29:F29"/>
    <mergeCell ref="A32:F32"/>
    <mergeCell ref="J11:K11"/>
    <mergeCell ref="G12:H12"/>
    <mergeCell ref="J12:K12"/>
    <mergeCell ref="A14:F14"/>
    <mergeCell ref="A18:H18"/>
    <mergeCell ref="A6:B6"/>
    <mergeCell ref="A7:B7"/>
    <mergeCell ref="A8:B8"/>
    <mergeCell ref="A10:H10"/>
    <mergeCell ref="G11:H11"/>
    <mergeCell ref="A1:C1"/>
    <mergeCell ref="A2:B2"/>
    <mergeCell ref="A3:B3"/>
    <mergeCell ref="A4:B4"/>
    <mergeCell ref="A5:B5"/>
  </mergeCells>
  <phoneticPr fontId="10" type="noConversion"/>
  <dataValidations count="2">
    <dataValidation type="list" allowBlank="1" showInputMessage="1" showErrorMessage="1" sqref="C3" xr:uid="{00000000-0002-0000-0000-000000000000}">
      <formula1>"256,128,64,32,16,8,4,2,1"</formula1>
    </dataValidation>
    <dataValidation type="list" allowBlank="1" showInputMessage="1" showErrorMessage="1" sqref="C6" xr:uid="{00000000-0002-0000-0000-000001000000}">
      <formula1>"16000000,12500000,12000000,13200000"</formula1>
    </dataValidation>
  </dataValidations>
  <pageMargins left="0.75" right="0.75" top="1" bottom="1" header="0.5" footer="0.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8:P93"/>
  <sheetViews>
    <sheetView topLeftCell="A3" zoomScale="115" zoomScaleNormal="115" workbookViewId="0">
      <selection activeCell="D22" sqref="D22:G22"/>
    </sheetView>
  </sheetViews>
  <sheetFormatPr defaultColWidth="9" defaultRowHeight="14.4" x14ac:dyDescent="0.25"/>
  <cols>
    <col min="1" max="1" width="9.33203125" customWidth="1"/>
    <col min="2" max="2" width="13.109375" customWidth="1"/>
    <col min="3" max="3" width="12.6640625"/>
    <col min="4" max="4" width="11.88671875" customWidth="1"/>
    <col min="5" max="5" width="13.77734375"/>
    <col min="6" max="6" width="13.88671875"/>
    <col min="7" max="7" width="12.77734375"/>
    <col min="9" max="9" width="12.6640625"/>
    <col min="10" max="10" width="9.33203125"/>
    <col min="11" max="11" width="11.5546875"/>
    <col min="12" max="14" width="13.77734375"/>
    <col min="15" max="17" width="12.6640625"/>
    <col min="18" max="18" width="13.77734375"/>
    <col min="19" max="20" width="12.6640625"/>
    <col min="21" max="21" width="11.5546875"/>
  </cols>
  <sheetData>
    <row r="18" spans="1:11" ht="19.95" customHeight="1" x14ac:dyDescent="0.15">
      <c r="A18" s="39" t="s">
        <v>30</v>
      </c>
      <c r="B18" s="39"/>
      <c r="C18" s="1">
        <f>主要公式!C2</f>
        <v>1.8</v>
      </c>
      <c r="D18" s="40"/>
      <c r="E18" s="40"/>
      <c r="F18" s="40"/>
      <c r="G18" s="40"/>
      <c r="H18" s="7"/>
      <c r="I18" s="41"/>
      <c r="J18" s="41"/>
      <c r="K18" s="7"/>
    </row>
    <row r="19" spans="1:11" ht="19.95" customHeight="1" x14ac:dyDescent="0.15">
      <c r="A19" s="42" t="s">
        <v>2</v>
      </c>
      <c r="B19" s="43"/>
      <c r="C19" s="1">
        <f>主要公式!C3</f>
        <v>256</v>
      </c>
      <c r="D19" s="40"/>
      <c r="E19" s="40"/>
      <c r="F19" s="40"/>
      <c r="G19" s="40"/>
      <c r="H19" s="7"/>
      <c r="I19" s="7"/>
      <c r="J19" s="7"/>
      <c r="K19" s="7"/>
    </row>
    <row r="20" spans="1:11" ht="19.95" customHeight="1" x14ac:dyDescent="0.15">
      <c r="A20" s="42" t="s">
        <v>3</v>
      </c>
      <c r="B20" s="43"/>
      <c r="C20" s="1">
        <f>主要公式!C4</f>
        <v>0</v>
      </c>
      <c r="D20" s="2"/>
      <c r="E20" s="2"/>
      <c r="F20" s="2"/>
      <c r="G20" s="2"/>
      <c r="H20" s="7"/>
      <c r="I20" s="7"/>
      <c r="J20" s="7"/>
      <c r="K20" s="7"/>
    </row>
    <row r="21" spans="1:11" ht="19.95" customHeight="1" x14ac:dyDescent="0.15">
      <c r="A21" s="39" t="s">
        <v>31</v>
      </c>
      <c r="B21" s="39"/>
      <c r="C21" s="1">
        <f>360/C18*C19</f>
        <v>51200</v>
      </c>
      <c r="D21" s="40"/>
      <c r="E21" s="40"/>
      <c r="F21" s="40"/>
      <c r="G21" s="40"/>
      <c r="H21" s="7"/>
      <c r="I21" s="7"/>
      <c r="J21" s="7"/>
      <c r="K21" s="7"/>
    </row>
    <row r="22" spans="1:11" ht="19.95" customHeight="1" x14ac:dyDescent="0.15">
      <c r="A22" s="39" t="s">
        <v>5</v>
      </c>
      <c r="B22" s="39"/>
      <c r="C22" s="1">
        <f>主要公式!C6</f>
        <v>16000000</v>
      </c>
      <c r="D22" s="40"/>
      <c r="E22" s="40"/>
      <c r="F22" s="40"/>
      <c r="G22" s="40"/>
      <c r="H22" s="7"/>
      <c r="I22" s="7"/>
      <c r="J22" s="7"/>
      <c r="K22" s="7"/>
    </row>
    <row r="23" spans="1:11" ht="19.95" customHeight="1" x14ac:dyDescent="0.15">
      <c r="A23" s="44" t="s">
        <v>32</v>
      </c>
      <c r="B23" s="44"/>
      <c r="C23" s="44"/>
      <c r="D23" s="44"/>
      <c r="E23" s="44"/>
      <c r="F23" s="2"/>
      <c r="G23" s="2"/>
      <c r="H23" s="7"/>
      <c r="I23" s="7"/>
      <c r="J23" s="7"/>
      <c r="K23" s="7"/>
    </row>
    <row r="24" spans="1:11" ht="19.95" customHeight="1" x14ac:dyDescent="0.2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</row>
    <row r="25" spans="1:11" ht="19.95" customHeight="1" x14ac:dyDescent="0.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</row>
    <row r="26" spans="1:11" ht="19.95" customHeight="1" x14ac:dyDescent="0.25">
      <c r="A26" s="1" t="s">
        <v>33</v>
      </c>
      <c r="B26" s="1" t="s">
        <v>34</v>
      </c>
      <c r="C26" s="1" t="s">
        <v>35</v>
      </c>
      <c r="D26" s="1" t="s">
        <v>36</v>
      </c>
    </row>
    <row r="27" spans="1:11" ht="19.95" customHeight="1" x14ac:dyDescent="0.25">
      <c r="A27" s="1" t="s">
        <v>37</v>
      </c>
      <c r="B27" s="5">
        <v>1000</v>
      </c>
      <c r="C27" s="1">
        <f>B27/$C$21</f>
        <v>1.953125E-2</v>
      </c>
      <c r="D27" s="5">
        <v>0.1</v>
      </c>
    </row>
    <row r="28" spans="1:11" ht="19.95" customHeight="1" x14ac:dyDescent="0.25">
      <c r="A28" s="1" t="s">
        <v>38</v>
      </c>
      <c r="B28" s="5">
        <v>3996</v>
      </c>
      <c r="C28" s="1">
        <f>B28/$C$21</f>
        <v>7.8046875000000002E-2</v>
      </c>
      <c r="D28" s="5">
        <v>0.15</v>
      </c>
    </row>
    <row r="29" spans="1:11" ht="19.95" customHeight="1" x14ac:dyDescent="0.25">
      <c r="A29" s="1" t="s">
        <v>39</v>
      </c>
      <c r="B29" s="5">
        <v>51200</v>
      </c>
      <c r="C29" s="1">
        <f>B29/$C$21</f>
        <v>1</v>
      </c>
      <c r="D29" s="5">
        <f>F71</f>
        <v>1.5384615384615401</v>
      </c>
    </row>
    <row r="30" spans="1:11" ht="19.95" customHeight="1" x14ac:dyDescent="0.25">
      <c r="A30" s="1" t="s">
        <v>40</v>
      </c>
      <c r="B30" s="5">
        <f>F80</f>
        <v>6127.2</v>
      </c>
      <c r="C30" s="1">
        <f>B30/C21</f>
        <v>0.119671875</v>
      </c>
      <c r="D30" s="5">
        <v>0.23</v>
      </c>
    </row>
    <row r="31" spans="1:11" ht="19.95" customHeight="1" x14ac:dyDescent="0.25">
      <c r="A31" s="1" t="s">
        <v>41</v>
      </c>
      <c r="B31" s="5">
        <f>F93</f>
        <v>4101.9550323486337</v>
      </c>
      <c r="C31" s="1">
        <f>B31/C21</f>
        <v>8.0116309225559248E-2</v>
      </c>
      <c r="D31" s="5">
        <v>0.41</v>
      </c>
    </row>
    <row r="33" spans="1:8" x14ac:dyDescent="0.25">
      <c r="A33" t="s">
        <v>42</v>
      </c>
      <c r="B33">
        <f>SUM(B27:B31)</f>
        <v>66425.15503234863</v>
      </c>
      <c r="D33">
        <f>SUM(D27:D31)</f>
        <v>2.4284615384615398</v>
      </c>
    </row>
    <row r="35" spans="1:8" ht="19.95" customHeight="1" x14ac:dyDescent="0.25">
      <c r="A35" s="46" t="s">
        <v>37</v>
      </c>
      <c r="B35" s="30" t="s">
        <v>43</v>
      </c>
      <c r="C35" s="30"/>
      <c r="D35" s="30"/>
      <c r="E35" s="30"/>
      <c r="F35" s="30"/>
      <c r="G35" s="30"/>
      <c r="H35" s="30"/>
    </row>
    <row r="36" spans="1:8" ht="19.95" customHeight="1" x14ac:dyDescent="0.25">
      <c r="A36" s="46"/>
      <c r="B36" s="30" t="s">
        <v>44</v>
      </c>
      <c r="C36" s="30"/>
      <c r="D36" s="30"/>
      <c r="E36" s="30"/>
      <c r="F36" s="30"/>
      <c r="G36" s="30"/>
      <c r="H36" s="30"/>
    </row>
    <row r="37" spans="1:8" ht="19.95" customHeight="1" x14ac:dyDescent="0.25">
      <c r="A37" s="46"/>
      <c r="B37" s="30"/>
      <c r="C37" s="30"/>
      <c r="D37" s="30"/>
      <c r="E37" s="30"/>
      <c r="F37" s="30"/>
      <c r="G37" s="30"/>
      <c r="H37" s="30"/>
    </row>
    <row r="38" spans="1:8" ht="19.95" customHeight="1" x14ac:dyDescent="0.25">
      <c r="A38" s="46"/>
      <c r="B38" s="1" t="s">
        <v>45</v>
      </c>
      <c r="C38" s="39" t="s">
        <v>46</v>
      </c>
      <c r="D38" s="39"/>
      <c r="E38" s="39"/>
      <c r="F38" s="1">
        <f>(C27*2)/(D27^2)</f>
        <v>3.90625</v>
      </c>
      <c r="G38" s="31"/>
      <c r="H38" s="32"/>
    </row>
    <row r="39" spans="1:8" ht="19.95" customHeight="1" x14ac:dyDescent="0.25">
      <c r="A39" s="46"/>
      <c r="B39" s="30" t="s">
        <v>44</v>
      </c>
      <c r="C39" s="30"/>
      <c r="D39" s="30"/>
      <c r="E39" s="30"/>
      <c r="F39" s="30"/>
      <c r="G39" s="30"/>
      <c r="H39" s="30"/>
    </row>
    <row r="40" spans="1:8" ht="19.95" customHeight="1" x14ac:dyDescent="0.25">
      <c r="A40" s="46"/>
      <c r="B40" s="30"/>
      <c r="C40" s="30"/>
      <c r="D40" s="30"/>
      <c r="E40" s="30"/>
      <c r="F40" s="30"/>
      <c r="G40" s="30"/>
      <c r="H40" s="30"/>
    </row>
    <row r="41" spans="1:8" ht="19.95" customHeight="1" x14ac:dyDescent="0.25">
      <c r="A41" s="46"/>
      <c r="B41" s="1" t="s">
        <v>45</v>
      </c>
      <c r="C41" s="39" t="s">
        <v>47</v>
      </c>
      <c r="D41" s="39"/>
      <c r="E41" s="39"/>
      <c r="F41" s="1">
        <f>F38/($C$22^2)*(2^41)*C21</f>
        <v>1717.9869184000001</v>
      </c>
      <c r="G41" s="1" t="s">
        <v>48</v>
      </c>
      <c r="H41" s="16">
        <f>F41</f>
        <v>1717.9869184000001</v>
      </c>
    </row>
    <row r="42" spans="1:8" ht="19.95" customHeight="1" x14ac:dyDescent="0.25">
      <c r="A42" s="46"/>
      <c r="B42" s="30" t="s">
        <v>44</v>
      </c>
      <c r="C42" s="30"/>
      <c r="D42" s="30"/>
      <c r="E42" s="30"/>
      <c r="F42" s="30"/>
      <c r="G42" s="30"/>
      <c r="H42" s="30"/>
    </row>
    <row r="43" spans="1:8" ht="19.95" customHeight="1" x14ac:dyDescent="0.25">
      <c r="A43" s="46"/>
      <c r="B43" s="30"/>
      <c r="C43" s="30"/>
      <c r="D43" s="30"/>
      <c r="E43" s="30"/>
      <c r="F43" s="30"/>
      <c r="G43" s="30"/>
      <c r="H43" s="30"/>
    </row>
    <row r="44" spans="1:8" ht="19.95" customHeight="1" x14ac:dyDescent="0.25">
      <c r="A44" s="46"/>
      <c r="B44" s="1" t="s">
        <v>45</v>
      </c>
      <c r="C44" s="39" t="s">
        <v>49</v>
      </c>
      <c r="D44" s="39"/>
      <c r="E44" s="39"/>
      <c r="F44" s="1">
        <f>F38*D27</f>
        <v>0.390625</v>
      </c>
      <c r="G44" s="1"/>
      <c r="H44" s="1"/>
    </row>
    <row r="45" spans="1:8" ht="19.95" customHeight="1" x14ac:dyDescent="0.25">
      <c r="A45" s="46"/>
      <c r="B45" s="30" t="s">
        <v>44</v>
      </c>
      <c r="C45" s="30"/>
      <c r="D45" s="30"/>
      <c r="E45" s="30"/>
      <c r="F45" s="30"/>
      <c r="G45" s="30"/>
      <c r="H45" s="30"/>
    </row>
    <row r="46" spans="1:8" ht="19.95" customHeight="1" x14ac:dyDescent="0.25">
      <c r="A46" s="46"/>
      <c r="B46" s="30"/>
      <c r="C46" s="30"/>
      <c r="D46" s="30"/>
      <c r="E46" s="30"/>
      <c r="F46" s="30"/>
      <c r="G46" s="30"/>
      <c r="H46" s="30"/>
    </row>
    <row r="47" spans="1:8" ht="19.95" customHeight="1" x14ac:dyDescent="0.25">
      <c r="A47" s="46"/>
      <c r="B47" s="1" t="s">
        <v>45</v>
      </c>
      <c r="C47" s="39" t="s">
        <v>50</v>
      </c>
      <c r="D47" s="39"/>
      <c r="E47" s="39"/>
      <c r="F47" s="1">
        <f>F44*C21*(2^24)/$C$22</f>
        <v>20971.52</v>
      </c>
      <c r="G47" s="1" t="s">
        <v>48</v>
      </c>
      <c r="H47" s="16">
        <f>F47</f>
        <v>20971.52</v>
      </c>
    </row>
    <row r="48" spans="1:8" ht="19.95" customHeight="1" x14ac:dyDescent="0.25">
      <c r="A48" s="46"/>
      <c r="B48" s="30" t="s">
        <v>51</v>
      </c>
      <c r="C48" s="30"/>
      <c r="D48" s="30"/>
      <c r="E48" s="30"/>
      <c r="F48" s="30"/>
      <c r="G48" s="30"/>
      <c r="H48" s="30"/>
    </row>
    <row r="49" spans="1:16" ht="19.95" customHeight="1" x14ac:dyDescent="0.25">
      <c r="A49" s="46"/>
      <c r="B49" s="30"/>
      <c r="C49" s="30"/>
      <c r="D49" s="30"/>
      <c r="E49" s="30"/>
      <c r="F49" s="30"/>
      <c r="G49" s="30"/>
      <c r="H49" s="30"/>
    </row>
    <row r="50" spans="1:16" ht="19.95" customHeight="1" x14ac:dyDescent="0.25">
      <c r="A50" s="46"/>
      <c r="B50" s="1" t="s">
        <v>45</v>
      </c>
      <c r="C50" s="39" t="s">
        <v>50</v>
      </c>
      <c r="D50" s="39"/>
      <c r="E50" s="39"/>
      <c r="F50" s="1">
        <f>(B27*F41*256)^0.5</f>
        <v>20971.52</v>
      </c>
      <c r="G50" s="1" t="s">
        <v>48</v>
      </c>
      <c r="H50" s="16">
        <f>F50</f>
        <v>20971.52</v>
      </c>
    </row>
    <row r="51" spans="1:16" ht="19.95" customHeight="1" x14ac:dyDescent="0.25"/>
    <row r="52" spans="1:16" ht="19.95" customHeight="1" x14ac:dyDescent="0.25"/>
    <row r="53" spans="1:16" ht="19.95" customHeight="1" x14ac:dyDescent="0.25">
      <c r="A53" s="46" t="s">
        <v>38</v>
      </c>
      <c r="B53" s="30" t="s">
        <v>52</v>
      </c>
      <c r="C53" s="30"/>
      <c r="D53" s="30"/>
      <c r="E53" s="30"/>
      <c r="F53" s="30"/>
      <c r="G53" s="30"/>
      <c r="H53" s="30"/>
    </row>
    <row r="54" spans="1:16" ht="19.95" customHeight="1" x14ac:dyDescent="0.25">
      <c r="A54" s="46"/>
      <c r="B54" s="30" t="s">
        <v>44</v>
      </c>
      <c r="C54" s="30"/>
      <c r="D54" s="30"/>
      <c r="E54" s="30"/>
      <c r="F54" s="30"/>
      <c r="G54" s="30"/>
      <c r="H54" s="30"/>
    </row>
    <row r="55" spans="1:16" ht="19.95" customHeight="1" x14ac:dyDescent="0.25">
      <c r="A55" s="46"/>
      <c r="B55" s="30"/>
      <c r="C55" s="30"/>
      <c r="D55" s="30"/>
      <c r="E55" s="30"/>
      <c r="F55" s="30"/>
      <c r="G55" s="30"/>
      <c r="H55" s="30"/>
      <c r="N55" s="7"/>
      <c r="O55" s="7"/>
      <c r="P55" s="7"/>
    </row>
    <row r="56" spans="1:16" ht="19.95" customHeight="1" x14ac:dyDescent="0.25">
      <c r="A56" s="46"/>
      <c r="B56" s="1" t="s">
        <v>45</v>
      </c>
      <c r="C56" s="39" t="s">
        <v>53</v>
      </c>
      <c r="D56" s="39"/>
      <c r="E56" s="39"/>
      <c r="F56" s="1">
        <f>(C28-F44*D28)*2/(D28^2)</f>
        <v>1.7291666666666701</v>
      </c>
      <c r="G56" s="1"/>
      <c r="H56" s="1"/>
      <c r="N56" s="7"/>
      <c r="O56" s="7"/>
      <c r="P56" s="7"/>
    </row>
    <row r="57" spans="1:16" ht="19.95" customHeight="1" x14ac:dyDescent="0.25">
      <c r="A57" s="46"/>
      <c r="B57" s="30" t="s">
        <v>44</v>
      </c>
      <c r="C57" s="30"/>
      <c r="D57" s="30"/>
      <c r="E57" s="30"/>
      <c r="F57" s="30"/>
      <c r="G57" s="30"/>
      <c r="H57" s="30"/>
      <c r="N57" s="7"/>
      <c r="O57" s="7"/>
      <c r="P57" s="7"/>
    </row>
    <row r="58" spans="1:16" ht="19.95" customHeight="1" x14ac:dyDescent="0.25">
      <c r="A58" s="46"/>
      <c r="B58" s="30"/>
      <c r="C58" s="30"/>
      <c r="D58" s="30"/>
      <c r="E58" s="30"/>
      <c r="F58" s="30"/>
      <c r="G58" s="30"/>
      <c r="H58" s="30"/>
      <c r="N58" s="7"/>
      <c r="O58" s="7"/>
      <c r="P58" s="7"/>
    </row>
    <row r="59" spans="1:16" ht="19.95" customHeight="1" x14ac:dyDescent="0.25">
      <c r="A59" s="46"/>
      <c r="B59" s="1" t="s">
        <v>45</v>
      </c>
      <c r="C59" s="39" t="s">
        <v>54</v>
      </c>
      <c r="D59" s="39"/>
      <c r="E59" s="39"/>
      <c r="F59" s="1">
        <f>F56/($C$22^2)*(2^41)*C21</f>
        <v>760.49554254506813</v>
      </c>
      <c r="G59" s="1" t="s">
        <v>48</v>
      </c>
      <c r="H59" s="16">
        <f>F59</f>
        <v>760.49554254506813</v>
      </c>
      <c r="N59" s="7"/>
      <c r="O59" s="7"/>
      <c r="P59" s="7"/>
    </row>
    <row r="60" spans="1:16" ht="19.95" customHeight="1" x14ac:dyDescent="0.25">
      <c r="A60" s="46"/>
      <c r="B60" s="30" t="s">
        <v>44</v>
      </c>
      <c r="C60" s="30"/>
      <c r="D60" s="30"/>
      <c r="E60" s="30"/>
      <c r="F60" s="30"/>
      <c r="G60" s="30"/>
      <c r="H60" s="30"/>
      <c r="N60" s="7"/>
      <c r="O60" s="7"/>
      <c r="P60" s="7"/>
    </row>
    <row r="61" spans="1:16" ht="19.95" customHeight="1" x14ac:dyDescent="0.25">
      <c r="A61" s="46"/>
      <c r="B61" s="30"/>
      <c r="C61" s="30"/>
      <c r="D61" s="30"/>
      <c r="E61" s="30"/>
      <c r="F61" s="30"/>
      <c r="G61" s="30"/>
      <c r="H61" s="30"/>
      <c r="N61" s="7"/>
      <c r="O61" s="7"/>
      <c r="P61" s="7"/>
    </row>
    <row r="62" spans="1:16" ht="19.95" customHeight="1" x14ac:dyDescent="0.25">
      <c r="A62" s="46"/>
      <c r="B62" s="1" t="s">
        <v>45</v>
      </c>
      <c r="C62" s="39" t="s">
        <v>55</v>
      </c>
      <c r="D62" s="39"/>
      <c r="E62" s="39"/>
      <c r="F62" s="1">
        <f>F44+F56*D28</f>
        <v>0.65</v>
      </c>
      <c r="G62" s="1"/>
      <c r="H62" s="1"/>
      <c r="N62" s="7"/>
      <c r="O62" s="7"/>
      <c r="P62" s="7"/>
    </row>
    <row r="63" spans="1:16" ht="19.95" customHeight="1" x14ac:dyDescent="0.25">
      <c r="A63" s="46"/>
      <c r="B63" s="30" t="s">
        <v>44</v>
      </c>
      <c r="C63" s="30"/>
      <c r="D63" s="30"/>
      <c r="E63" s="30"/>
      <c r="F63" s="30"/>
      <c r="G63" s="30"/>
      <c r="H63" s="30"/>
      <c r="N63" s="7"/>
      <c r="O63" s="7"/>
      <c r="P63" s="7"/>
    </row>
    <row r="64" spans="1:16" ht="19.95" customHeight="1" x14ac:dyDescent="0.25">
      <c r="A64" s="46"/>
      <c r="B64" s="30"/>
      <c r="C64" s="30"/>
      <c r="D64" s="30"/>
      <c r="E64" s="30"/>
      <c r="F64" s="30"/>
      <c r="G64" s="30"/>
      <c r="H64" s="30"/>
      <c r="N64" s="7"/>
      <c r="O64" s="7"/>
      <c r="P64" s="7"/>
    </row>
    <row r="65" spans="1:15" ht="19.95" customHeight="1" x14ac:dyDescent="0.25">
      <c r="A65" s="46"/>
      <c r="B65" s="1" t="s">
        <v>45</v>
      </c>
      <c r="C65" s="39" t="s">
        <v>56</v>
      </c>
      <c r="D65" s="39"/>
      <c r="E65" s="39"/>
      <c r="F65" s="1">
        <f>F62*C21*(2^24)/$C$22</f>
        <v>34896.609279999997</v>
      </c>
      <c r="G65" s="1" t="s">
        <v>48</v>
      </c>
      <c r="H65" s="16">
        <f>F65</f>
        <v>34896.609279999997</v>
      </c>
    </row>
    <row r="66" spans="1:15" ht="19.95" customHeight="1" x14ac:dyDescent="0.25">
      <c r="L66" s="7"/>
      <c r="M66" s="7"/>
      <c r="N66" s="7"/>
      <c r="O66" s="7"/>
    </row>
    <row r="67" spans="1:15" ht="19.95" customHeight="1" x14ac:dyDescent="0.25"/>
    <row r="68" spans="1:15" ht="19.95" customHeight="1" x14ac:dyDescent="0.25">
      <c r="A68" s="47" t="s">
        <v>39</v>
      </c>
      <c r="B68" s="30" t="s">
        <v>57</v>
      </c>
      <c r="C68" s="30"/>
      <c r="D68" s="30"/>
      <c r="E68" s="30"/>
      <c r="F68" s="30"/>
      <c r="G68" s="30"/>
      <c r="H68" s="30"/>
    </row>
    <row r="69" spans="1:15" ht="19.95" customHeight="1" x14ac:dyDescent="0.25">
      <c r="A69" s="47"/>
      <c r="B69" s="30" t="s">
        <v>44</v>
      </c>
      <c r="C69" s="30"/>
      <c r="D69" s="30"/>
      <c r="E69" s="30"/>
      <c r="F69" s="30"/>
      <c r="G69" s="30"/>
      <c r="H69" s="30"/>
    </row>
    <row r="70" spans="1:15" ht="19.95" customHeight="1" x14ac:dyDescent="0.25">
      <c r="A70" s="47"/>
      <c r="B70" s="30"/>
      <c r="C70" s="30"/>
      <c r="D70" s="30"/>
      <c r="E70" s="30"/>
      <c r="F70" s="30"/>
      <c r="G70" s="30"/>
      <c r="H70" s="30"/>
    </row>
    <row r="71" spans="1:15" ht="19.95" customHeight="1" x14ac:dyDescent="0.25">
      <c r="A71" s="47"/>
      <c r="B71" s="1" t="s">
        <v>45</v>
      </c>
      <c r="C71" s="39" t="s">
        <v>58</v>
      </c>
      <c r="D71" s="39"/>
      <c r="E71" s="39"/>
      <c r="F71" s="1">
        <f>C29/F62</f>
        <v>1.5384615384615401</v>
      </c>
      <c r="G71" s="17"/>
      <c r="H71" s="17"/>
    </row>
    <row r="72" spans="1:15" ht="19.95" customHeight="1" x14ac:dyDescent="0.25">
      <c r="C72" s="7"/>
      <c r="D72" s="7"/>
      <c r="E72" s="7"/>
    </row>
    <row r="73" spans="1:15" ht="19.95" customHeight="1" x14ac:dyDescent="0.25"/>
    <row r="74" spans="1:15" ht="19.95" customHeight="1" x14ac:dyDescent="0.25">
      <c r="A74" s="46" t="s">
        <v>40</v>
      </c>
      <c r="B74" s="39" t="s">
        <v>59</v>
      </c>
      <c r="C74" s="39"/>
      <c r="D74" s="39"/>
      <c r="E74" s="39"/>
      <c r="F74" s="39"/>
      <c r="G74" s="39"/>
      <c r="H74" s="39"/>
    </row>
    <row r="75" spans="1:15" ht="19.95" customHeight="1" x14ac:dyDescent="0.25">
      <c r="A75" s="46"/>
      <c r="B75" s="51" t="s">
        <v>44</v>
      </c>
      <c r="C75" s="51"/>
      <c r="D75" s="51"/>
      <c r="E75" s="51"/>
      <c r="F75" s="51"/>
      <c r="G75" s="51"/>
      <c r="H75" s="51"/>
    </row>
    <row r="76" spans="1:15" ht="19.95" customHeight="1" x14ac:dyDescent="0.25">
      <c r="A76" s="46"/>
      <c r="B76" s="30"/>
      <c r="C76" s="30"/>
      <c r="D76" s="30"/>
      <c r="E76" s="30"/>
      <c r="F76" s="30"/>
      <c r="G76" s="30"/>
      <c r="H76" s="30"/>
    </row>
    <row r="77" spans="1:15" ht="19.95" customHeight="1" x14ac:dyDescent="0.25">
      <c r="A77" s="46"/>
      <c r="B77" s="48" t="s">
        <v>45</v>
      </c>
      <c r="C77" s="39" t="s">
        <v>60</v>
      </c>
      <c r="D77" s="39"/>
      <c r="E77" s="39"/>
      <c r="F77" s="1">
        <f>(F44-F62)/D30</f>
        <v>-1.1277173913043499</v>
      </c>
      <c r="G77" s="1"/>
      <c r="H77" s="1"/>
    </row>
    <row r="78" spans="1:15" ht="19.95" customHeight="1" x14ac:dyDescent="0.25">
      <c r="A78" s="46"/>
      <c r="B78" s="49"/>
      <c r="C78" s="39" t="s">
        <v>61</v>
      </c>
      <c r="D78" s="39"/>
      <c r="E78" s="39"/>
      <c r="F78" s="1">
        <f>-F77/($C$22^2)*(2^41)*C21</f>
        <v>495.97535383374003</v>
      </c>
      <c r="G78" s="1" t="s">
        <v>48</v>
      </c>
      <c r="H78" s="16">
        <f>F78</f>
        <v>495.97535383374003</v>
      </c>
    </row>
    <row r="79" spans="1:15" ht="19.95" customHeight="1" x14ac:dyDescent="0.25">
      <c r="A79" s="46"/>
      <c r="B79" s="49"/>
      <c r="C79" s="39" t="s">
        <v>62</v>
      </c>
      <c r="D79" s="39"/>
      <c r="E79" s="39"/>
      <c r="F79" s="1">
        <f>F62*D30+F77*(D30^2)*0.5</f>
        <v>0.119671875</v>
      </c>
      <c r="G79" s="1"/>
      <c r="H79" s="16"/>
    </row>
    <row r="80" spans="1:15" ht="19.95" customHeight="1" x14ac:dyDescent="0.25">
      <c r="A80" s="46"/>
      <c r="B80" s="50"/>
      <c r="C80" s="39" t="s">
        <v>63</v>
      </c>
      <c r="D80" s="39"/>
      <c r="E80" s="39"/>
      <c r="F80" s="1">
        <f>F79*$C$21</f>
        <v>6127.2</v>
      </c>
      <c r="G80" s="1"/>
      <c r="H80" s="1"/>
    </row>
    <row r="81" spans="1:8" ht="19.95" customHeight="1" x14ac:dyDescent="0.25">
      <c r="C81" s="7"/>
      <c r="D81" s="7"/>
      <c r="E81" s="7"/>
    </row>
    <row r="82" spans="1:8" ht="19.95" customHeight="1" x14ac:dyDescent="0.25">
      <c r="C82" s="7"/>
      <c r="D82" s="7"/>
      <c r="E82" s="7"/>
    </row>
    <row r="83" spans="1:8" ht="19.95" customHeight="1" x14ac:dyDescent="0.25">
      <c r="A83" s="46" t="s">
        <v>41</v>
      </c>
      <c r="B83" s="30" t="s">
        <v>64</v>
      </c>
      <c r="C83" s="30"/>
      <c r="D83" s="30"/>
      <c r="E83" s="30"/>
      <c r="F83" s="30"/>
      <c r="G83" s="30"/>
      <c r="H83" s="30"/>
    </row>
    <row r="84" spans="1:8" ht="19.95" customHeight="1" x14ac:dyDescent="0.25">
      <c r="A84" s="46"/>
      <c r="B84" s="10"/>
      <c r="C84" s="39" t="s">
        <v>65</v>
      </c>
      <c r="D84" s="39"/>
      <c r="E84" s="39"/>
      <c r="F84" s="3">
        <v>10</v>
      </c>
      <c r="G84" s="10"/>
      <c r="H84" s="10"/>
    </row>
    <row r="85" spans="1:8" ht="19.95" customHeight="1" x14ac:dyDescent="0.25">
      <c r="A85" s="46"/>
      <c r="B85" s="52" t="s">
        <v>44</v>
      </c>
      <c r="C85" s="53"/>
      <c r="D85" s="53"/>
      <c r="E85" s="53"/>
      <c r="F85" s="53"/>
      <c r="G85" s="53"/>
      <c r="H85" s="54"/>
    </row>
    <row r="86" spans="1:8" ht="19.95" customHeight="1" x14ac:dyDescent="0.25">
      <c r="A86" s="46"/>
      <c r="B86" s="55"/>
      <c r="C86" s="56"/>
      <c r="D86" s="56"/>
      <c r="E86" s="56"/>
      <c r="F86" s="56"/>
      <c r="G86" s="56"/>
      <c r="H86" s="57"/>
    </row>
    <row r="87" spans="1:8" ht="19.95" customHeight="1" x14ac:dyDescent="0.25">
      <c r="A87" s="46"/>
      <c r="B87" s="1" t="s">
        <v>45</v>
      </c>
      <c r="C87" s="42" t="s">
        <v>66</v>
      </c>
      <c r="D87" s="45"/>
      <c r="E87" s="45"/>
      <c r="F87" s="19">
        <f>F84*C22/(2^24)/C21</f>
        <v>1.862645149230957E-4</v>
      </c>
      <c r="G87" s="10"/>
      <c r="H87" s="10"/>
    </row>
    <row r="88" spans="1:8" ht="19.95" customHeight="1" x14ac:dyDescent="0.25">
      <c r="A88" s="46"/>
      <c r="B88" s="30" t="s">
        <v>44</v>
      </c>
      <c r="C88" s="30"/>
      <c r="D88" s="30"/>
      <c r="E88" s="30"/>
      <c r="F88" s="30"/>
      <c r="G88" s="30"/>
      <c r="H88" s="30"/>
    </row>
    <row r="89" spans="1:8" ht="19.95" customHeight="1" x14ac:dyDescent="0.25">
      <c r="A89" s="46"/>
      <c r="B89" s="30"/>
      <c r="C89" s="30"/>
      <c r="D89" s="30"/>
      <c r="E89" s="30"/>
      <c r="F89" s="30"/>
      <c r="G89" s="30"/>
      <c r="H89" s="30"/>
    </row>
    <row r="90" spans="1:8" ht="19.95" customHeight="1" x14ac:dyDescent="0.25">
      <c r="A90" s="46"/>
      <c r="B90" s="39" t="s">
        <v>45</v>
      </c>
      <c r="C90" s="43" t="s">
        <v>67</v>
      </c>
      <c r="D90" s="39"/>
      <c r="E90" s="39"/>
      <c r="F90" s="1">
        <f>(F87-F44)/D31</f>
        <v>-0.95228959874409003</v>
      </c>
      <c r="G90" s="1"/>
      <c r="H90" s="1"/>
    </row>
    <row r="91" spans="1:8" ht="19.95" customHeight="1" x14ac:dyDescent="0.25">
      <c r="A91" s="46"/>
      <c r="B91" s="39"/>
      <c r="C91" s="43" t="s">
        <v>68</v>
      </c>
      <c r="D91" s="39"/>
      <c r="E91" s="39"/>
      <c r="F91" s="1">
        <f>-F90/($C$22^2)*(2^41)*C21</f>
        <v>418.8213947317073</v>
      </c>
      <c r="G91" s="1" t="s">
        <v>48</v>
      </c>
      <c r="H91" s="16">
        <f>F91</f>
        <v>418.8213947317073</v>
      </c>
    </row>
    <row r="92" spans="1:8" ht="19.95" customHeight="1" x14ac:dyDescent="0.25">
      <c r="A92" s="46"/>
      <c r="B92" s="39"/>
      <c r="C92" s="43" t="s">
        <v>62</v>
      </c>
      <c r="D92" s="39"/>
      <c r="E92" s="39"/>
      <c r="F92" s="1">
        <f>F44*D31+F90*(D31^2)*0.5</f>
        <v>8.0116309225559248E-2</v>
      </c>
      <c r="G92" s="1">
        <f>F87*D31-F90*(D31^2)*0.5</f>
        <v>8.0116309225559221E-2</v>
      </c>
      <c r="H92" s="16"/>
    </row>
    <row r="93" spans="1:8" ht="19.95" customHeight="1" x14ac:dyDescent="0.25">
      <c r="A93" s="46"/>
      <c r="B93" s="39"/>
      <c r="C93" s="43" t="s">
        <v>63</v>
      </c>
      <c r="D93" s="39"/>
      <c r="E93" s="39"/>
      <c r="F93" s="1">
        <f>F92*$C$21</f>
        <v>4101.9550323486337</v>
      </c>
      <c r="G93" s="1"/>
      <c r="H93" s="1"/>
    </row>
  </sheetData>
  <mergeCells count="57">
    <mergeCell ref="C92:E92"/>
    <mergeCell ref="C93:E93"/>
    <mergeCell ref="A35:A50"/>
    <mergeCell ref="A53:A65"/>
    <mergeCell ref="A68:A71"/>
    <mergeCell ref="A74:A80"/>
    <mergeCell ref="A83:A93"/>
    <mergeCell ref="B77:B80"/>
    <mergeCell ref="B90:B93"/>
    <mergeCell ref="B36:H37"/>
    <mergeCell ref="B39:H40"/>
    <mergeCell ref="B42:H43"/>
    <mergeCell ref="B45:H46"/>
    <mergeCell ref="B48:H49"/>
    <mergeCell ref="B54:H55"/>
    <mergeCell ref="B57:H58"/>
    <mergeCell ref="B83:H83"/>
    <mergeCell ref="C84:E84"/>
    <mergeCell ref="C87:E87"/>
    <mergeCell ref="C90:E90"/>
    <mergeCell ref="C91:E91"/>
    <mergeCell ref="B85:H86"/>
    <mergeCell ref="B88:H89"/>
    <mergeCell ref="B74:H74"/>
    <mergeCell ref="C77:E77"/>
    <mergeCell ref="C78:E78"/>
    <mergeCell ref="C79:E79"/>
    <mergeCell ref="C80:E80"/>
    <mergeCell ref="B75:H76"/>
    <mergeCell ref="C59:E59"/>
    <mergeCell ref="C62:E62"/>
    <mergeCell ref="C65:E65"/>
    <mergeCell ref="B68:H68"/>
    <mergeCell ref="C71:E71"/>
    <mergeCell ref="B60:H61"/>
    <mergeCell ref="B63:H64"/>
    <mergeCell ref="B69:H70"/>
    <mergeCell ref="C44:E44"/>
    <mergeCell ref="C47:E47"/>
    <mergeCell ref="C50:E50"/>
    <mergeCell ref="B53:H53"/>
    <mergeCell ref="C56:E56"/>
    <mergeCell ref="A23:E23"/>
    <mergeCell ref="B35:H35"/>
    <mergeCell ref="C38:E38"/>
    <mergeCell ref="G38:H38"/>
    <mergeCell ref="C41:E41"/>
    <mergeCell ref="A20:B20"/>
    <mergeCell ref="A21:B21"/>
    <mergeCell ref="D21:G21"/>
    <mergeCell ref="A22:B22"/>
    <mergeCell ref="D22:G22"/>
    <mergeCell ref="A18:B18"/>
    <mergeCell ref="D18:G18"/>
    <mergeCell ref="I18:J18"/>
    <mergeCell ref="A19:B19"/>
    <mergeCell ref="D19:G19"/>
  </mergeCells>
  <phoneticPr fontId="10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5"/>
  <sheetViews>
    <sheetView tabSelected="1" topLeftCell="A11" zoomScale="160" zoomScaleNormal="160" workbookViewId="0">
      <selection activeCell="H29" sqref="H29"/>
    </sheetView>
  </sheetViews>
  <sheetFormatPr defaultColWidth="9" defaultRowHeight="14.4" x14ac:dyDescent="0.25"/>
  <cols>
    <col min="1" max="24" width="15.6640625" customWidth="1"/>
  </cols>
  <sheetData>
    <row r="1" spans="1:10" ht="195" customHeight="1" x14ac:dyDescent="0.25">
      <c r="A1" s="58" t="s">
        <v>69</v>
      </c>
      <c r="B1" s="58"/>
      <c r="C1" s="58"/>
      <c r="D1" s="58"/>
      <c r="E1" s="58"/>
      <c r="F1" s="58"/>
      <c r="G1" s="58"/>
      <c r="H1" s="58"/>
    </row>
    <row r="2" spans="1:10" ht="21" customHeight="1" x14ac:dyDescent="0.25"/>
    <row r="3" spans="1:10" ht="21" customHeight="1" x14ac:dyDescent="0.25">
      <c r="A3" s="38" t="s">
        <v>70</v>
      </c>
      <c r="B3" s="38"/>
      <c r="C3" s="38"/>
    </row>
    <row r="4" spans="1:10" ht="21" customHeight="1" x14ac:dyDescent="0.15">
      <c r="A4" s="39" t="s">
        <v>71</v>
      </c>
      <c r="B4" s="39"/>
      <c r="C4" s="1">
        <f>主要公式!C2</f>
        <v>1.8</v>
      </c>
      <c r="D4" s="40"/>
      <c r="E4" s="40"/>
      <c r="F4" s="40"/>
      <c r="G4" s="40"/>
    </row>
    <row r="5" spans="1:10" ht="21" customHeight="1" x14ac:dyDescent="0.15">
      <c r="A5" s="42" t="s">
        <v>2</v>
      </c>
      <c r="B5" s="43"/>
      <c r="C5" s="1">
        <f>主要公式!C3</f>
        <v>256</v>
      </c>
      <c r="D5" s="40"/>
      <c r="E5" s="40"/>
      <c r="F5" s="40"/>
      <c r="G5" s="40"/>
    </row>
    <row r="6" spans="1:10" ht="21" customHeight="1" x14ac:dyDescent="0.25">
      <c r="A6" s="42" t="s">
        <v>3</v>
      </c>
      <c r="B6" s="43"/>
      <c r="C6" s="1">
        <f>主要公式!C4</f>
        <v>0</v>
      </c>
    </row>
    <row r="7" spans="1:10" ht="21" customHeight="1" x14ac:dyDescent="0.25">
      <c r="A7" s="39" t="s">
        <v>31</v>
      </c>
      <c r="B7" s="39"/>
      <c r="C7" s="1">
        <f>主要公式!C5</f>
        <v>51200</v>
      </c>
    </row>
    <row r="8" spans="1:10" ht="21" customHeight="1" x14ac:dyDescent="0.25">
      <c r="A8" s="39" t="s">
        <v>5</v>
      </c>
      <c r="B8" s="39"/>
      <c r="C8" s="63">
        <f>主要公式!C6</f>
        <v>16000000</v>
      </c>
    </row>
    <row r="9" spans="1:10" ht="21" customHeight="1" x14ac:dyDescent="0.15">
      <c r="A9" s="44" t="s">
        <v>32</v>
      </c>
      <c r="B9" s="44"/>
      <c r="C9" s="44"/>
      <c r="D9" s="44"/>
      <c r="E9" s="44"/>
    </row>
    <row r="10" spans="1:10" ht="21" customHeight="1" x14ac:dyDescent="0.25"/>
    <row r="11" spans="1:10" ht="21" customHeight="1" x14ac:dyDescent="0.25">
      <c r="A11" s="59" t="s">
        <v>72</v>
      </c>
      <c r="B11" s="59"/>
      <c r="C11" s="59"/>
      <c r="D11" s="59"/>
    </row>
    <row r="12" spans="1:10" ht="21" customHeight="1" x14ac:dyDescent="0.25">
      <c r="A12" s="1"/>
      <c r="B12" s="1" t="s">
        <v>73</v>
      </c>
      <c r="C12" s="1" t="s">
        <v>74</v>
      </c>
      <c r="D12" s="1" t="s">
        <v>75</v>
      </c>
    </row>
    <row r="13" spans="1:10" ht="21" customHeight="1" x14ac:dyDescent="0.25">
      <c r="A13" s="1" t="s">
        <v>76</v>
      </c>
      <c r="B13" s="4">
        <v>4000</v>
      </c>
      <c r="C13" s="1">
        <f>B13/$C$7</f>
        <v>7.8125E-2</v>
      </c>
      <c r="D13" s="5">
        <v>0.05</v>
      </c>
      <c r="J13" s="7"/>
    </row>
    <row r="14" spans="1:10" ht="21" customHeight="1" x14ac:dyDescent="0.25">
      <c r="A14" s="1" t="s">
        <v>39</v>
      </c>
      <c r="B14" s="4">
        <v>591680</v>
      </c>
      <c r="C14" s="1">
        <f>B14/$C$7</f>
        <v>11.55625</v>
      </c>
      <c r="D14" s="5">
        <v>2</v>
      </c>
      <c r="E14" t="s">
        <v>77</v>
      </c>
    </row>
    <row r="15" spans="1:10" ht="21" customHeight="1" x14ac:dyDescent="0.25">
      <c r="A15" s="1" t="s">
        <v>78</v>
      </c>
      <c r="B15" s="4">
        <v>4000</v>
      </c>
      <c r="C15" s="1">
        <f>B15/$C$7</f>
        <v>7.8125E-2</v>
      </c>
      <c r="D15" s="5">
        <v>0.1</v>
      </c>
    </row>
    <row r="16" spans="1:10" ht="21" customHeight="1" x14ac:dyDescent="0.25">
      <c r="A16" s="1" t="s">
        <v>79</v>
      </c>
      <c r="B16" s="6">
        <f>SUM(B13:B15)</f>
        <v>599680</v>
      </c>
      <c r="C16" s="1">
        <f>SUM(C13:C15)</f>
        <v>11.7125</v>
      </c>
      <c r="D16" s="1">
        <f>SUM(D13:D15)</f>
        <v>2.15</v>
      </c>
    </row>
    <row r="17" spans="1:9" ht="21" customHeight="1" x14ac:dyDescent="0.25">
      <c r="A17" s="7"/>
      <c r="B17" s="7"/>
      <c r="C17" s="7"/>
      <c r="D17" s="7"/>
    </row>
    <row r="18" spans="1:9" ht="21" customHeight="1" x14ac:dyDescent="0.25">
      <c r="A18" s="39" t="s">
        <v>80</v>
      </c>
      <c r="B18" s="39"/>
      <c r="C18" s="5">
        <v>0</v>
      </c>
      <c r="D18" s="1" t="s">
        <v>81</v>
      </c>
      <c r="E18" s="1">
        <f>C18*$C$8/(2^24)/$C$7</f>
        <v>0</v>
      </c>
    </row>
    <row r="19" spans="1:9" ht="21" customHeight="1" x14ac:dyDescent="0.25">
      <c r="A19" s="39" t="s">
        <v>82</v>
      </c>
      <c r="B19" s="39"/>
      <c r="C19" s="5">
        <v>10</v>
      </c>
      <c r="D19" s="1" t="s">
        <v>81</v>
      </c>
      <c r="E19" s="1">
        <f>C19*$C$8/(2^24)/$C$7</f>
        <v>1.862645149230957E-4</v>
      </c>
      <c r="F19" t="s">
        <v>83</v>
      </c>
    </row>
    <row r="20" spans="1:9" ht="21" customHeight="1" x14ac:dyDescent="0.25"/>
    <row r="21" spans="1:9" ht="21" customHeight="1" x14ac:dyDescent="0.25">
      <c r="A21" s="8"/>
      <c r="B21" s="9"/>
      <c r="C21" s="9"/>
      <c r="D21" s="9"/>
      <c r="E21" s="9"/>
      <c r="F21" s="9"/>
      <c r="G21" s="9"/>
      <c r="H21" s="9"/>
    </row>
    <row r="22" spans="1:9" ht="21" customHeight="1" x14ac:dyDescent="0.25">
      <c r="A22" s="38" t="s">
        <v>84</v>
      </c>
      <c r="B22" s="38"/>
      <c r="C22" s="38"/>
      <c r="D22" s="38"/>
      <c r="E22" s="38"/>
      <c r="F22" s="38"/>
      <c r="G22" s="38"/>
      <c r="H22" s="38"/>
    </row>
    <row r="23" spans="1:9" ht="21" customHeight="1" x14ac:dyDescent="0.25">
      <c r="A23" s="60" t="s">
        <v>76</v>
      </c>
      <c r="B23" s="30" t="s">
        <v>85</v>
      </c>
      <c r="C23" s="30"/>
      <c r="D23" s="30"/>
      <c r="E23" s="30"/>
      <c r="F23" s="30"/>
      <c r="G23" s="30"/>
      <c r="H23" s="30"/>
    </row>
    <row r="24" spans="1:9" ht="21" customHeight="1" x14ac:dyDescent="0.25">
      <c r="A24" s="61"/>
      <c r="B24" s="30" t="s">
        <v>44</v>
      </c>
      <c r="C24" s="30"/>
      <c r="D24" s="30"/>
      <c r="E24" s="30"/>
      <c r="F24" s="30"/>
      <c r="G24" s="30"/>
      <c r="H24" s="30"/>
    </row>
    <row r="25" spans="1:9" ht="21" customHeight="1" x14ac:dyDescent="0.25">
      <c r="A25" s="61"/>
      <c r="B25" s="30"/>
      <c r="C25" s="30"/>
      <c r="D25" s="30"/>
      <c r="E25" s="30"/>
      <c r="F25" s="30"/>
      <c r="G25" s="30"/>
      <c r="H25" s="30"/>
    </row>
    <row r="26" spans="1:9" ht="21" customHeight="1" x14ac:dyDescent="0.25">
      <c r="A26" s="61"/>
      <c r="B26" s="1" t="s">
        <v>86</v>
      </c>
      <c r="C26" s="42" t="s">
        <v>87</v>
      </c>
      <c r="D26" s="43"/>
      <c r="E26" s="1">
        <f>(2*(C13-E18*D13))/(D13^2)</f>
        <v>62.499999999999986</v>
      </c>
      <c r="F26" s="39" t="s">
        <v>88</v>
      </c>
      <c r="G26" s="39"/>
      <c r="H26" s="11">
        <f>E26/($C$8^2)*(2^41)*C7</f>
        <v>27487.790694399995</v>
      </c>
    </row>
    <row r="27" spans="1:9" ht="21" customHeight="1" x14ac:dyDescent="0.25">
      <c r="A27" s="61"/>
      <c r="B27" s="30" t="s">
        <v>44</v>
      </c>
      <c r="C27" s="30"/>
      <c r="D27" s="30"/>
      <c r="E27" s="30"/>
      <c r="F27" s="30"/>
      <c r="G27" s="30"/>
      <c r="H27" s="30"/>
    </row>
    <row r="28" spans="1:9" ht="21" customHeight="1" x14ac:dyDescent="0.25">
      <c r="A28" s="61"/>
      <c r="B28" s="30"/>
      <c r="C28" s="30"/>
      <c r="D28" s="30"/>
      <c r="E28" s="30"/>
      <c r="F28" s="30"/>
      <c r="G28" s="30"/>
      <c r="H28" s="30"/>
    </row>
    <row r="29" spans="1:9" ht="21" customHeight="1" x14ac:dyDescent="0.25">
      <c r="A29" s="62"/>
      <c r="B29" s="1" t="s">
        <v>86</v>
      </c>
      <c r="C29" s="42" t="s">
        <v>89</v>
      </c>
      <c r="D29" s="43"/>
      <c r="E29" s="1">
        <f>E18+E26*$D$13</f>
        <v>3.1249999999999996</v>
      </c>
      <c r="F29" s="42" t="s">
        <v>90</v>
      </c>
      <c r="G29" s="43"/>
      <c r="H29" s="12">
        <f>E29*$C$7*(2^24)/$C$8</f>
        <v>167772.15999999997</v>
      </c>
      <c r="I29" s="15"/>
    </row>
    <row r="30" spans="1:9" ht="21" customHeight="1" x14ac:dyDescent="0.25"/>
    <row r="31" spans="1:9" ht="21" customHeight="1" x14ac:dyDescent="0.25"/>
    <row r="32" spans="1:9" ht="21" customHeight="1" x14ac:dyDescent="0.25">
      <c r="A32" s="47" t="s">
        <v>39</v>
      </c>
      <c r="B32" s="32" t="s">
        <v>91</v>
      </c>
      <c r="C32" s="30"/>
      <c r="D32" s="30"/>
      <c r="E32" s="30"/>
      <c r="F32" s="30"/>
      <c r="G32" s="30"/>
      <c r="H32" s="30"/>
    </row>
    <row r="33" spans="1:8" ht="21" customHeight="1" x14ac:dyDescent="0.25">
      <c r="A33" s="47"/>
      <c r="B33" s="32" t="s">
        <v>44</v>
      </c>
      <c r="C33" s="30"/>
      <c r="D33" s="30"/>
      <c r="E33" s="30"/>
      <c r="F33" s="30"/>
      <c r="G33" s="30"/>
      <c r="H33" s="30"/>
    </row>
    <row r="34" spans="1:8" ht="21" customHeight="1" x14ac:dyDescent="0.25">
      <c r="A34" s="47"/>
      <c r="B34" s="32"/>
      <c r="C34" s="30"/>
      <c r="D34" s="30"/>
      <c r="E34" s="30"/>
      <c r="F34" s="30"/>
      <c r="G34" s="30"/>
      <c r="H34" s="30"/>
    </row>
    <row r="35" spans="1:8" ht="21" customHeight="1" x14ac:dyDescent="0.25">
      <c r="A35" s="47"/>
      <c r="B35" s="3" t="s">
        <v>86</v>
      </c>
      <c r="C35" s="39" t="s">
        <v>92</v>
      </c>
      <c r="D35" s="39"/>
      <c r="E35" s="1">
        <f>C14/E29</f>
        <v>3.6980000000000008</v>
      </c>
      <c r="F35" s="45"/>
      <c r="G35" s="45"/>
      <c r="H35" s="43"/>
    </row>
    <row r="36" spans="1:8" ht="21" customHeight="1" x14ac:dyDescent="0.25">
      <c r="A36" s="47"/>
      <c r="B36" s="3" t="s">
        <v>93</v>
      </c>
      <c r="C36" s="39" t="s">
        <v>94</v>
      </c>
      <c r="D36" s="39"/>
      <c r="E36" s="1">
        <f>E29*D14</f>
        <v>6.2499999999999991</v>
      </c>
      <c r="F36" s="42" t="s">
        <v>95</v>
      </c>
      <c r="G36" s="43"/>
      <c r="H36" s="1">
        <f>E36*C8</f>
        <v>99999999.999999985</v>
      </c>
    </row>
    <row r="37" spans="1:8" ht="21" customHeight="1" x14ac:dyDescent="0.25"/>
    <row r="38" spans="1:8" ht="21" customHeight="1" x14ac:dyDescent="0.25">
      <c r="A38" s="13"/>
      <c r="B38" s="9"/>
      <c r="C38" s="9"/>
      <c r="D38" s="9"/>
      <c r="E38" s="9"/>
      <c r="F38" s="9"/>
      <c r="G38" s="9"/>
      <c r="H38" s="9"/>
    </row>
    <row r="39" spans="1:8" ht="21" customHeight="1" x14ac:dyDescent="0.25">
      <c r="A39" s="47" t="s">
        <v>78</v>
      </c>
      <c r="B39" s="30" t="s">
        <v>96</v>
      </c>
      <c r="C39" s="30"/>
      <c r="D39" s="30"/>
      <c r="E39" s="30"/>
      <c r="F39" s="30"/>
      <c r="G39" s="30"/>
      <c r="H39" s="30"/>
    </row>
    <row r="40" spans="1:8" ht="21" customHeight="1" x14ac:dyDescent="0.25">
      <c r="A40" s="47"/>
      <c r="B40" s="30" t="s">
        <v>44</v>
      </c>
      <c r="C40" s="30"/>
      <c r="D40" s="30"/>
      <c r="E40" s="30"/>
      <c r="F40" s="30"/>
      <c r="G40" s="30"/>
      <c r="H40" s="30"/>
    </row>
    <row r="41" spans="1:8" ht="21" customHeight="1" x14ac:dyDescent="0.25">
      <c r="A41" s="47"/>
      <c r="B41" s="30"/>
      <c r="C41" s="30"/>
      <c r="D41" s="30"/>
      <c r="E41" s="30"/>
      <c r="F41" s="30"/>
      <c r="G41" s="30"/>
      <c r="H41" s="30"/>
    </row>
    <row r="42" spans="1:8" ht="21" customHeight="1" x14ac:dyDescent="0.25">
      <c r="A42" s="47"/>
      <c r="B42" s="1" t="s">
        <v>86</v>
      </c>
      <c r="C42" s="39" t="s">
        <v>97</v>
      </c>
      <c r="D42" s="39"/>
      <c r="E42" s="1">
        <f>(E29^2-E19^2)/(2*C15)</f>
        <v>62.499999777955374</v>
      </c>
      <c r="F42" s="39" t="s">
        <v>98</v>
      </c>
      <c r="G42" s="39"/>
      <c r="H42" s="14">
        <f>E42/($C$8^2)*(2^41)*C7</f>
        <v>27487.79059674374</v>
      </c>
    </row>
    <row r="43" spans="1:8" ht="21" customHeight="1" x14ac:dyDescent="0.25"/>
    <row r="44" spans="1:8" ht="21" customHeight="1" x14ac:dyDescent="0.25"/>
    <row r="45" spans="1:8" ht="21" customHeight="1" x14ac:dyDescent="0.25"/>
    <row r="46" spans="1:8" ht="21" customHeight="1" x14ac:dyDescent="0.25"/>
    <row r="47" spans="1:8" ht="21" customHeight="1" x14ac:dyDescent="0.25"/>
    <row r="48" spans="1:8" ht="21" customHeight="1" x14ac:dyDescent="0.25"/>
    <row r="49" ht="21" customHeight="1" x14ac:dyDescent="0.25"/>
    <row r="50" ht="21" customHeight="1" x14ac:dyDescent="0.25"/>
    <row r="51" ht="21" customHeight="1" x14ac:dyDescent="0.25"/>
    <row r="52" ht="21" customHeight="1" x14ac:dyDescent="0.25"/>
    <row r="53" ht="21" customHeight="1" x14ac:dyDescent="0.25"/>
    <row r="54" ht="21" customHeight="1" x14ac:dyDescent="0.25"/>
    <row r="55" ht="21" customHeight="1" x14ac:dyDescent="0.25"/>
    <row r="56" ht="21" customHeight="1" x14ac:dyDescent="0.25"/>
    <row r="57" ht="21" customHeight="1" x14ac:dyDescent="0.25"/>
    <row r="58" ht="21" customHeight="1" x14ac:dyDescent="0.25"/>
    <row r="59" ht="21" customHeight="1" x14ac:dyDescent="0.25"/>
    <row r="60" ht="21" customHeight="1" x14ac:dyDescent="0.25"/>
    <row r="61" ht="21" customHeight="1" x14ac:dyDescent="0.25"/>
    <row r="62" ht="21" customHeight="1" x14ac:dyDescent="0.25"/>
    <row r="63" ht="21" customHeight="1" x14ac:dyDescent="0.25"/>
    <row r="64" ht="21" customHeight="1" x14ac:dyDescent="0.25"/>
    <row r="65" ht="21" customHeight="1" x14ac:dyDescent="0.25"/>
  </sheetData>
  <mergeCells count="34">
    <mergeCell ref="A32:A36"/>
    <mergeCell ref="A39:A42"/>
    <mergeCell ref="B24:H25"/>
    <mergeCell ref="B27:H28"/>
    <mergeCell ref="B33:H34"/>
    <mergeCell ref="B40:H41"/>
    <mergeCell ref="C36:D36"/>
    <mergeCell ref="F36:G36"/>
    <mergeCell ref="B39:H39"/>
    <mergeCell ref="C42:D42"/>
    <mergeCell ref="F42:G42"/>
    <mergeCell ref="C29:D29"/>
    <mergeCell ref="F29:G29"/>
    <mergeCell ref="B32:H32"/>
    <mergeCell ref="C35:D35"/>
    <mergeCell ref="F35:H35"/>
    <mergeCell ref="A18:B18"/>
    <mergeCell ref="A19:B19"/>
    <mergeCell ref="A22:H22"/>
    <mergeCell ref="B23:H23"/>
    <mergeCell ref="C26:D26"/>
    <mergeCell ref="F26:G26"/>
    <mergeCell ref="A23:A29"/>
    <mergeCell ref="A6:B6"/>
    <mergeCell ref="A7:B7"/>
    <mergeCell ref="A8:B8"/>
    <mergeCell ref="A9:E9"/>
    <mergeCell ref="A11:D11"/>
    <mergeCell ref="A1:H1"/>
    <mergeCell ref="A3:C3"/>
    <mergeCell ref="A4:B4"/>
    <mergeCell ref="D4:G4"/>
    <mergeCell ref="A5:B5"/>
    <mergeCell ref="D5:G5"/>
  </mergeCells>
  <phoneticPr fontId="10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主要公式</vt:lpstr>
      <vt:lpstr>6点斜坡举例</vt:lpstr>
      <vt:lpstr>T型斜坡计算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</dc:creator>
  <cp:lastModifiedBy>tao zhang</cp:lastModifiedBy>
  <dcterms:created xsi:type="dcterms:W3CDTF">2022-03-01T12:53:00Z</dcterms:created>
  <dcterms:modified xsi:type="dcterms:W3CDTF">2024-07-25T09:11:33Z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C31C847BEAC44A4FBC0D79F93081B6F4_13</vt:lpwstr>
  </property>
  <property fmtid="{D5CDD505-2E9C-101B-9397-08002B2CF9AE}" pid="3" name="KSOProductBuildVer">
    <vt:lpwstr>2052-12.1.0.16729</vt:lpwstr>
  </property>
</Properties>
</file>